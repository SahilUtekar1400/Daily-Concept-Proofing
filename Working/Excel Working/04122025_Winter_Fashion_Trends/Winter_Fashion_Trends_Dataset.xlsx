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hil\OneDrive\Documents\Git_Repositories\Daily-Concept-Proofing\Working\Excel Working\04122025_Winter_Fashion_Trends\"/>
    </mc:Choice>
  </mc:AlternateContent>
  <xr:revisionPtr revIDLastSave="0" documentId="13_ncr:1_{AF6F48B6-E55F-45E9-9D5F-8DE8ABF92BC2}" xr6:coauthVersionLast="47" xr6:coauthVersionMax="47" xr10:uidLastSave="{00000000-0000-0000-0000-000000000000}"/>
  <bookViews>
    <workbookView xWindow="-108" yWindow="-108" windowWidth="23256" windowHeight="12456" activeTab="1" xr2:uid="{4AEEEB2B-2F7C-4B17-B97E-AA8A0F82D82F}"/>
  </bookViews>
  <sheets>
    <sheet name="Winter_Fashion_Trends_DS(OG)" sheetId="1" r:id="rId1"/>
    <sheet name="Analyzing_DS" sheetId="2" r:id="rId2"/>
  </sheets>
  <definedNames>
    <definedName name="_xlnm._FilterDatabase" localSheetId="1" hidden="1">Analyzing_DS!$A$1:$L$151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6" i="2" l="1"/>
  <c r="R17" i="2"/>
  <c r="R18" i="2"/>
  <c r="R19" i="2"/>
  <c r="R20" i="2"/>
  <c r="R21" i="2"/>
  <c r="R22" i="2"/>
  <c r="R23" i="2"/>
  <c r="R24" i="2"/>
  <c r="R15" i="2"/>
  <c r="Q16" i="2"/>
  <c r="Q17" i="2"/>
  <c r="Q18" i="2"/>
  <c r="Q19" i="2"/>
  <c r="Q20" i="2"/>
  <c r="Q21" i="2"/>
  <c r="Q22" i="2"/>
  <c r="Q23" i="2"/>
  <c r="Q24" i="2"/>
  <c r="Q15" i="2"/>
  <c r="Y8" i="2" a="1"/>
  <c r="Y8" i="2" s="1"/>
  <c r="Y7" i="2" a="1"/>
  <c r="Y7" i="2"/>
  <c r="X3" i="2" a="1"/>
  <c r="X3" i="2" s="1"/>
  <c r="Y3" i="2" s="1" a="1"/>
  <c r="Y3" i="2" s="1"/>
  <c r="X5" i="2" a="1"/>
  <c r="X5" i="2" s="1"/>
  <c r="Y5" i="2" s="1" a="1"/>
  <c r="Y5" i="2" s="1"/>
  <c r="X6" i="2" a="1"/>
  <c r="X6" i="2" s="1"/>
  <c r="Y6" i="2" s="1" a="1"/>
  <c r="Y6" i="2" s="1"/>
  <c r="X4" i="2" a="1"/>
  <c r="X4" i="2" s="1"/>
  <c r="Y4" i="2" s="1" a="1"/>
  <c r="Y4" i="2" s="1"/>
  <c r="X8" i="2" a="1"/>
  <c r="X8" i="2" s="1"/>
  <c r="X7" i="2" a="1"/>
  <c r="X7" i="2" s="1"/>
  <c r="X2" i="2" a="1"/>
  <c r="X2" i="2" s="1"/>
  <c r="Y2" i="2" s="1" a="1"/>
  <c r="Y2" i="2" s="1"/>
  <c r="W3" i="2" a="1"/>
  <c r="W3" i="2" s="1"/>
  <c r="W5" i="2" a="1"/>
  <c r="W5" i="2" s="1"/>
  <c r="W6" i="2" a="1"/>
  <c r="W6" i="2" s="1"/>
  <c r="W4" i="2" a="1"/>
  <c r="W4" i="2" s="1"/>
  <c r="W8" i="2" a="1"/>
  <c r="W8" i="2" s="1"/>
  <c r="W7" i="2" a="1"/>
  <c r="W7" i="2" s="1"/>
  <c r="W2" i="2" a="1"/>
  <c r="W2" i="2" s="1"/>
  <c r="S8" i="2"/>
  <c r="S9" i="2"/>
  <c r="S7" i="2"/>
  <c r="S2" i="2"/>
  <c r="S4" i="2"/>
  <c r="S6" i="2"/>
  <c r="S10" i="2"/>
  <c r="S11" i="2"/>
  <c r="S3" i="2"/>
  <c r="S5" i="2"/>
  <c r="R8" i="2" a="1"/>
  <c r="R8" i="2" s="1"/>
  <c r="R9" i="2" a="1"/>
  <c r="R9" i="2" s="1"/>
  <c r="R7" i="2" a="1"/>
  <c r="R7" i="2" s="1"/>
  <c r="R2" i="2" a="1"/>
  <c r="R2" i="2" s="1"/>
  <c r="R4" i="2" a="1"/>
  <c r="R4" i="2" s="1"/>
  <c r="R6" i="2" a="1"/>
  <c r="R6" i="2" s="1"/>
  <c r="R10" i="2" a="1"/>
  <c r="R10" i="2" s="1"/>
  <c r="R11" i="2" a="1"/>
  <c r="R11" i="2" s="1"/>
  <c r="R3" i="2" a="1"/>
  <c r="R3" i="2" s="1"/>
  <c r="R5" i="2" a="1"/>
  <c r="R5" i="2" s="1"/>
  <c r="Q8" i="2" a="1"/>
  <c r="Q8" i="2" s="1"/>
  <c r="Q9" i="2" a="1"/>
  <c r="Q9" i="2" s="1"/>
  <c r="Q7" i="2" a="1"/>
  <c r="Q7" i="2" s="1"/>
  <c r="Q2" i="2" a="1"/>
  <c r="Q2" i="2" s="1"/>
  <c r="Q4" i="2" a="1"/>
  <c r="Q4" i="2" s="1"/>
  <c r="Q6" i="2" a="1"/>
  <c r="Q6" i="2" s="1"/>
  <c r="Q10" i="2" a="1"/>
  <c r="Q10" i="2" s="1"/>
  <c r="Q11" i="2" a="1"/>
  <c r="Q11" i="2" s="1"/>
  <c r="Q3" i="2" a="1"/>
  <c r="Q3" i="2" s="1"/>
  <c r="Q5" i="2" a="1"/>
  <c r="Q5" i="2" s="1"/>
  <c r="T5" i="2" l="1"/>
  <c r="T6" i="2"/>
  <c r="T4" i="2"/>
  <c r="T2" i="2"/>
  <c r="T7" i="2"/>
  <c r="T11" i="2"/>
  <c r="T9" i="2"/>
  <c r="T10" i="2"/>
  <c r="T8" i="2"/>
  <c r="T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<sst xmlns="http://schemas.openxmlformats.org/spreadsheetml/2006/main" count="2463" uniqueCount="74">
  <si>
    <t>ID</t>
  </si>
  <si>
    <t>Brand</t>
  </si>
  <si>
    <t>Category</t>
  </si>
  <si>
    <t>Color</t>
  </si>
  <si>
    <t>Material</t>
  </si>
  <si>
    <t>Style</t>
  </si>
  <si>
    <t>Gender</t>
  </si>
  <si>
    <t>Season</t>
  </si>
  <si>
    <t>Price(USD)</t>
  </si>
  <si>
    <t>Popularity_Score</t>
  </si>
  <si>
    <t>Customer_Rating</t>
  </si>
  <si>
    <t>Trend_Status</t>
  </si>
  <si>
    <t>Adidas</t>
  </si>
  <si>
    <t>Gloves</t>
  </si>
  <si>
    <t>Brown</t>
  </si>
  <si>
    <t>Polyester</t>
  </si>
  <si>
    <t>Streetwear</t>
  </si>
  <si>
    <t>Women</t>
  </si>
  <si>
    <t>Winter 2025</t>
  </si>
  <si>
    <t>Trending</t>
  </si>
  <si>
    <t>Gucci</t>
  </si>
  <si>
    <t>Red</t>
  </si>
  <si>
    <t>Leather</t>
  </si>
  <si>
    <t>Sporty</t>
  </si>
  <si>
    <t>Men</t>
  </si>
  <si>
    <t>Winter 2023</t>
  </si>
  <si>
    <t>H&amp;M</t>
  </si>
  <si>
    <t>Coat</t>
  </si>
  <si>
    <t>Fleece</t>
  </si>
  <si>
    <t>Unisex</t>
  </si>
  <si>
    <t>North Face</t>
  </si>
  <si>
    <t>Blue</t>
  </si>
  <si>
    <t>Cashmere</t>
  </si>
  <si>
    <t>Formal</t>
  </si>
  <si>
    <t>Winter 2024</t>
  </si>
  <si>
    <t>Outdated</t>
  </si>
  <si>
    <t>Mango</t>
  </si>
  <si>
    <t>Thermal</t>
  </si>
  <si>
    <t>Uniqlo</t>
  </si>
  <si>
    <t>Black</t>
  </si>
  <si>
    <t>Gray</t>
  </si>
  <si>
    <t>Casual</t>
  </si>
  <si>
    <t>Sweater</t>
  </si>
  <si>
    <t>Cream</t>
  </si>
  <si>
    <t>Cotton</t>
  </si>
  <si>
    <t>Scarf</t>
  </si>
  <si>
    <t>Maroon</t>
  </si>
  <si>
    <t>Luxury</t>
  </si>
  <si>
    <t>Classic</t>
  </si>
  <si>
    <t>Beanie</t>
  </si>
  <si>
    <t>Green</t>
  </si>
  <si>
    <t>Emerging</t>
  </si>
  <si>
    <t>Zara</t>
  </si>
  <si>
    <t>Cardigan</t>
  </si>
  <si>
    <t>Beige</t>
  </si>
  <si>
    <t>Wool</t>
  </si>
  <si>
    <t>Jacket</t>
  </si>
  <si>
    <t>White</t>
  </si>
  <si>
    <t>Prada</t>
  </si>
  <si>
    <t>Hoodie</t>
  </si>
  <si>
    <t>Levi's</t>
  </si>
  <si>
    <t>Down</t>
  </si>
  <si>
    <t>Nike</t>
  </si>
  <si>
    <t>Boots</t>
  </si>
  <si>
    <t>Price(USD)
Using IF Array</t>
  </si>
  <si>
    <t>Price(USD)
Using Filter</t>
  </si>
  <si>
    <t>Avg_Popularity_score</t>
  </si>
  <si>
    <t>Rank Based on Popularity</t>
  </si>
  <si>
    <t>Materials</t>
  </si>
  <si>
    <t>Market Median Price</t>
  </si>
  <si>
    <t>Market Price for Uniqlo</t>
  </si>
  <si>
    <t>%Differcnce between Uniqolo and Market</t>
  </si>
  <si>
    <t>Count of Woolean Item sold by Uniqlo</t>
  </si>
  <si>
    <t>Price of the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</si>
</sst>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/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6" fillId="33" borderId="10" xfId="0" applyFont="1" applyFill="1" applyBorder="1" applyAlignment="1">
      <alignment horizontal="center" vertical="center" wrapText="1"/>
    </xf>
    <xf numFmtId="4" fontId="0" fillId="0" borderId="10" xfId="0" applyNumberFormat="1" applyBorder="1"/>
    <xf numFmtId="0" fontId="0" fillId="33" borderId="10" xfId="0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303CE-FFDE-4D08-948D-92979CAB7B04}">
  <dimension ref="A1:L151"/>
  <sheetViews>
    <sheetView workbookViewId="0">
      <selection activeCell="B2" sqref="B2"/>
    </sheetView>
  </sheetViews>
  <sheetFormatPr defaultRowHeight="14.4" x14ac:dyDescent="0.3"/>
  <cols>
    <col min="1" max="1" width="4" bestFit="1" customWidth="1"/>
    <col min="2" max="2" width="10" bestFit="1" customWidth="1"/>
    <col min="3" max="3" width="8.5546875" bestFit="1" customWidth="1"/>
    <col min="4" max="4" width="7.5546875" bestFit="1" customWidth="1"/>
    <col min="5" max="5" width="9.109375" bestFit="1" customWidth="1"/>
    <col min="6" max="6" width="10" bestFit="1" customWidth="1"/>
    <col min="7" max="7" width="7.44140625" bestFit="1" customWidth="1"/>
    <col min="8" max="8" width="11" bestFit="1" customWidth="1"/>
    <col min="9" max="9" width="10" bestFit="1" customWidth="1"/>
    <col min="10" max="10" width="15.44140625" bestFit="1" customWidth="1"/>
    <col min="11" max="11" width="15.5546875" bestFit="1" customWidth="1"/>
    <col min="12" max="12" width="12.109375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3">
      <c r="A2" s="1">
        <v>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>
        <v>244.06</v>
      </c>
      <c r="J2" s="1">
        <v>6</v>
      </c>
      <c r="K2" s="1">
        <v>4.9000000000000004</v>
      </c>
      <c r="L2" s="1" t="s">
        <v>19</v>
      </c>
    </row>
    <row r="3" spans="1:12" x14ac:dyDescent="0.3">
      <c r="A3" s="1">
        <v>2</v>
      </c>
      <c r="B3" s="1" t="s">
        <v>20</v>
      </c>
      <c r="C3" s="1" t="s">
        <v>13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>
        <v>366.73</v>
      </c>
      <c r="J3" s="1">
        <v>8.8000000000000007</v>
      </c>
      <c r="K3" s="1">
        <v>3.3</v>
      </c>
      <c r="L3" s="1" t="s">
        <v>19</v>
      </c>
    </row>
    <row r="4" spans="1:12" x14ac:dyDescent="0.3">
      <c r="A4" s="1">
        <v>3</v>
      </c>
      <c r="B4" s="1" t="s">
        <v>26</v>
      </c>
      <c r="C4" s="1" t="s">
        <v>27</v>
      </c>
      <c r="D4" s="1" t="s">
        <v>14</v>
      </c>
      <c r="E4" s="1" t="s">
        <v>28</v>
      </c>
      <c r="F4" s="1" t="s">
        <v>16</v>
      </c>
      <c r="G4" s="1" t="s">
        <v>29</v>
      </c>
      <c r="H4" s="1" t="s">
        <v>18</v>
      </c>
      <c r="I4" s="1">
        <v>741.55</v>
      </c>
      <c r="J4" s="1">
        <v>4.8</v>
      </c>
      <c r="K4" s="1">
        <v>3.5</v>
      </c>
      <c r="L4" s="1" t="s">
        <v>19</v>
      </c>
    </row>
    <row r="5" spans="1:12" x14ac:dyDescent="0.3">
      <c r="A5" s="1">
        <v>4</v>
      </c>
      <c r="B5" s="1" t="s">
        <v>30</v>
      </c>
      <c r="C5" s="1" t="s">
        <v>27</v>
      </c>
      <c r="D5" s="1" t="s">
        <v>31</v>
      </c>
      <c r="E5" s="1" t="s">
        <v>32</v>
      </c>
      <c r="F5" s="1" t="s">
        <v>33</v>
      </c>
      <c r="G5" s="1" t="s">
        <v>24</v>
      </c>
      <c r="H5" s="1" t="s">
        <v>34</v>
      </c>
      <c r="I5" s="1">
        <v>116.09</v>
      </c>
      <c r="J5" s="1">
        <v>7.5</v>
      </c>
      <c r="K5" s="1">
        <v>3.1</v>
      </c>
      <c r="L5" s="1" t="s">
        <v>35</v>
      </c>
    </row>
    <row r="6" spans="1:12" x14ac:dyDescent="0.3">
      <c r="A6" s="1">
        <v>5</v>
      </c>
      <c r="B6" s="1" t="s">
        <v>36</v>
      </c>
      <c r="C6" s="1" t="s">
        <v>37</v>
      </c>
      <c r="D6" s="1" t="s">
        <v>31</v>
      </c>
      <c r="E6" s="1" t="s">
        <v>32</v>
      </c>
      <c r="F6" s="1" t="s">
        <v>33</v>
      </c>
      <c r="G6" s="1" t="s">
        <v>29</v>
      </c>
      <c r="H6" s="1" t="s">
        <v>18</v>
      </c>
      <c r="I6" s="1">
        <v>193.16</v>
      </c>
      <c r="J6" s="1">
        <v>7.8</v>
      </c>
      <c r="K6" s="1">
        <v>4.3</v>
      </c>
      <c r="L6" s="1" t="s">
        <v>35</v>
      </c>
    </row>
    <row r="7" spans="1:12" x14ac:dyDescent="0.3">
      <c r="A7" s="1">
        <v>6</v>
      </c>
      <c r="B7" s="1" t="s">
        <v>38</v>
      </c>
      <c r="C7" s="1" t="s">
        <v>37</v>
      </c>
      <c r="D7" s="1" t="s">
        <v>39</v>
      </c>
      <c r="E7" s="1" t="s">
        <v>28</v>
      </c>
      <c r="F7" s="1" t="s">
        <v>33</v>
      </c>
      <c r="G7" s="1" t="s">
        <v>29</v>
      </c>
      <c r="H7" s="1" t="s">
        <v>18</v>
      </c>
      <c r="I7" s="1">
        <v>699.85</v>
      </c>
      <c r="J7" s="1">
        <v>1.7</v>
      </c>
      <c r="K7" s="1">
        <v>4.2</v>
      </c>
      <c r="L7" s="1" t="s">
        <v>35</v>
      </c>
    </row>
    <row r="8" spans="1:12" x14ac:dyDescent="0.3">
      <c r="A8" s="1">
        <v>7</v>
      </c>
      <c r="B8" s="1" t="s">
        <v>38</v>
      </c>
      <c r="C8" s="1" t="s">
        <v>27</v>
      </c>
      <c r="D8" s="1" t="s">
        <v>40</v>
      </c>
      <c r="E8" s="1" t="s">
        <v>28</v>
      </c>
      <c r="F8" s="1" t="s">
        <v>41</v>
      </c>
      <c r="G8" s="1" t="s">
        <v>24</v>
      </c>
      <c r="H8" s="1" t="s">
        <v>18</v>
      </c>
      <c r="I8" s="1">
        <v>497.79</v>
      </c>
      <c r="J8" s="1">
        <v>9.6999999999999993</v>
      </c>
      <c r="K8" s="1">
        <v>3</v>
      </c>
      <c r="L8" s="1" t="s">
        <v>19</v>
      </c>
    </row>
    <row r="9" spans="1:12" x14ac:dyDescent="0.3">
      <c r="A9" s="1">
        <v>8</v>
      </c>
      <c r="B9" s="1" t="s">
        <v>36</v>
      </c>
      <c r="C9" s="1" t="s">
        <v>42</v>
      </c>
      <c r="D9" s="1" t="s">
        <v>43</v>
      </c>
      <c r="E9" s="1" t="s">
        <v>44</v>
      </c>
      <c r="F9" s="1" t="s">
        <v>16</v>
      </c>
      <c r="G9" s="1" t="s">
        <v>29</v>
      </c>
      <c r="H9" s="1" t="s">
        <v>18</v>
      </c>
      <c r="I9" s="1">
        <v>579.37</v>
      </c>
      <c r="J9" s="1">
        <v>6.6</v>
      </c>
      <c r="K9" s="1">
        <v>3.8</v>
      </c>
      <c r="L9" s="1" t="s">
        <v>35</v>
      </c>
    </row>
    <row r="10" spans="1:12" x14ac:dyDescent="0.3">
      <c r="A10" s="1">
        <v>9</v>
      </c>
      <c r="B10" s="1" t="s">
        <v>20</v>
      </c>
      <c r="C10" s="1" t="s">
        <v>13</v>
      </c>
      <c r="D10" s="1" t="s">
        <v>14</v>
      </c>
      <c r="E10" s="1" t="s">
        <v>44</v>
      </c>
      <c r="F10" s="1" t="s">
        <v>41</v>
      </c>
      <c r="G10" s="1" t="s">
        <v>29</v>
      </c>
      <c r="H10" s="1" t="s">
        <v>34</v>
      </c>
      <c r="I10" s="1">
        <v>315.95999999999998</v>
      </c>
      <c r="J10" s="1">
        <v>6.2</v>
      </c>
      <c r="K10" s="1">
        <v>2.8</v>
      </c>
      <c r="L10" s="1" t="s">
        <v>35</v>
      </c>
    </row>
    <row r="11" spans="1:12" x14ac:dyDescent="0.3">
      <c r="A11" s="1">
        <v>10</v>
      </c>
      <c r="B11" s="1" t="s">
        <v>36</v>
      </c>
      <c r="C11" s="1" t="s">
        <v>45</v>
      </c>
      <c r="D11" s="1" t="s">
        <v>46</v>
      </c>
      <c r="E11" s="1" t="s">
        <v>22</v>
      </c>
      <c r="F11" s="1" t="s">
        <v>47</v>
      </c>
      <c r="G11" s="1" t="s">
        <v>29</v>
      </c>
      <c r="H11" s="1" t="s">
        <v>25</v>
      </c>
      <c r="I11" s="1">
        <v>468.58</v>
      </c>
      <c r="J11" s="1">
        <v>2.5</v>
      </c>
      <c r="K11" s="1">
        <v>4.9000000000000004</v>
      </c>
      <c r="L11" s="1" t="s">
        <v>48</v>
      </c>
    </row>
    <row r="12" spans="1:12" x14ac:dyDescent="0.3">
      <c r="A12" s="1">
        <v>11</v>
      </c>
      <c r="B12" s="1" t="s">
        <v>20</v>
      </c>
      <c r="C12" s="1" t="s">
        <v>49</v>
      </c>
      <c r="D12" s="1" t="s">
        <v>40</v>
      </c>
      <c r="E12" s="1" t="s">
        <v>44</v>
      </c>
      <c r="F12" s="1" t="s">
        <v>23</v>
      </c>
      <c r="G12" s="1" t="s">
        <v>29</v>
      </c>
      <c r="H12" s="1" t="s">
        <v>25</v>
      </c>
      <c r="I12" s="1">
        <v>452.18</v>
      </c>
      <c r="J12" s="1">
        <v>3.3</v>
      </c>
      <c r="K12" s="1">
        <v>2.6</v>
      </c>
      <c r="L12" s="1" t="s">
        <v>35</v>
      </c>
    </row>
    <row r="13" spans="1:12" x14ac:dyDescent="0.3">
      <c r="A13" s="1">
        <v>12</v>
      </c>
      <c r="B13" s="1" t="s">
        <v>12</v>
      </c>
      <c r="C13" s="1" t="s">
        <v>45</v>
      </c>
      <c r="D13" s="1" t="s">
        <v>50</v>
      </c>
      <c r="E13" s="1" t="s">
        <v>15</v>
      </c>
      <c r="F13" s="1" t="s">
        <v>16</v>
      </c>
      <c r="G13" s="1" t="s">
        <v>17</v>
      </c>
      <c r="H13" s="1" t="s">
        <v>34</v>
      </c>
      <c r="I13" s="1">
        <v>568.66</v>
      </c>
      <c r="J13" s="1">
        <v>2.6</v>
      </c>
      <c r="K13" s="1">
        <v>3.1</v>
      </c>
      <c r="L13" s="1" t="s">
        <v>51</v>
      </c>
    </row>
    <row r="14" spans="1:12" x14ac:dyDescent="0.3">
      <c r="A14" s="1">
        <v>13</v>
      </c>
      <c r="B14" s="1" t="s">
        <v>52</v>
      </c>
      <c r="C14" s="1" t="s">
        <v>53</v>
      </c>
      <c r="D14" s="1" t="s">
        <v>54</v>
      </c>
      <c r="E14" s="1" t="s">
        <v>32</v>
      </c>
      <c r="F14" s="1" t="s">
        <v>47</v>
      </c>
      <c r="G14" s="1" t="s">
        <v>24</v>
      </c>
      <c r="H14" s="1" t="s">
        <v>25</v>
      </c>
      <c r="I14" s="1">
        <v>532.16999999999996</v>
      </c>
      <c r="J14" s="1">
        <v>1.2</v>
      </c>
      <c r="K14" s="1">
        <v>2.5</v>
      </c>
      <c r="L14" s="1" t="s">
        <v>19</v>
      </c>
    </row>
    <row r="15" spans="1:12" x14ac:dyDescent="0.3">
      <c r="A15" s="1">
        <v>14</v>
      </c>
      <c r="B15" s="1" t="s">
        <v>36</v>
      </c>
      <c r="C15" s="1" t="s">
        <v>37</v>
      </c>
      <c r="D15" s="1" t="s">
        <v>54</v>
      </c>
      <c r="E15" s="1" t="s">
        <v>32</v>
      </c>
      <c r="F15" s="1" t="s">
        <v>16</v>
      </c>
      <c r="G15" s="1" t="s">
        <v>24</v>
      </c>
      <c r="H15" s="1" t="s">
        <v>18</v>
      </c>
      <c r="I15" s="1">
        <v>95.96</v>
      </c>
      <c r="J15" s="1">
        <v>2.4</v>
      </c>
      <c r="K15" s="1">
        <v>3.3</v>
      </c>
      <c r="L15" s="1" t="s">
        <v>48</v>
      </c>
    </row>
    <row r="16" spans="1:12" x14ac:dyDescent="0.3">
      <c r="A16" s="1">
        <v>15</v>
      </c>
      <c r="B16" s="1" t="s">
        <v>38</v>
      </c>
      <c r="C16" s="1" t="s">
        <v>13</v>
      </c>
      <c r="D16" s="1" t="s">
        <v>14</v>
      </c>
      <c r="E16" s="1" t="s">
        <v>32</v>
      </c>
      <c r="F16" s="1" t="s">
        <v>33</v>
      </c>
      <c r="G16" s="1" t="s">
        <v>29</v>
      </c>
      <c r="H16" s="1" t="s">
        <v>18</v>
      </c>
      <c r="I16" s="1">
        <v>735.62</v>
      </c>
      <c r="J16" s="1">
        <v>5.8</v>
      </c>
      <c r="K16" s="1">
        <v>4</v>
      </c>
      <c r="L16" s="1" t="s">
        <v>48</v>
      </c>
    </row>
    <row r="17" spans="1:12" x14ac:dyDescent="0.3">
      <c r="A17" s="1">
        <v>16</v>
      </c>
      <c r="B17" s="1" t="s">
        <v>38</v>
      </c>
      <c r="C17" s="1" t="s">
        <v>45</v>
      </c>
      <c r="D17" s="1" t="s">
        <v>14</v>
      </c>
      <c r="E17" s="1" t="s">
        <v>55</v>
      </c>
      <c r="F17" s="1" t="s">
        <v>33</v>
      </c>
      <c r="G17" s="1" t="s">
        <v>17</v>
      </c>
      <c r="H17" s="1" t="s">
        <v>25</v>
      </c>
      <c r="I17" s="1">
        <v>52.28</v>
      </c>
      <c r="J17" s="1">
        <v>3.9</v>
      </c>
      <c r="K17" s="1">
        <v>3.7</v>
      </c>
      <c r="L17" s="1" t="s">
        <v>48</v>
      </c>
    </row>
    <row r="18" spans="1:12" x14ac:dyDescent="0.3">
      <c r="A18" s="1">
        <v>17</v>
      </c>
      <c r="B18" s="1" t="s">
        <v>26</v>
      </c>
      <c r="C18" s="1" t="s">
        <v>56</v>
      </c>
      <c r="D18" s="1" t="s">
        <v>57</v>
      </c>
      <c r="E18" s="1" t="s">
        <v>28</v>
      </c>
      <c r="F18" s="1" t="s">
        <v>33</v>
      </c>
      <c r="G18" s="1" t="s">
        <v>24</v>
      </c>
      <c r="H18" s="1" t="s">
        <v>25</v>
      </c>
      <c r="I18" s="1">
        <v>694.54</v>
      </c>
      <c r="J18" s="1">
        <v>6.2</v>
      </c>
      <c r="K18" s="1">
        <v>3.1</v>
      </c>
      <c r="L18" s="1" t="s">
        <v>51</v>
      </c>
    </row>
    <row r="19" spans="1:12" x14ac:dyDescent="0.3">
      <c r="A19" s="1">
        <v>18</v>
      </c>
      <c r="B19" s="1" t="s">
        <v>12</v>
      </c>
      <c r="C19" s="1" t="s">
        <v>53</v>
      </c>
      <c r="D19" s="1" t="s">
        <v>57</v>
      </c>
      <c r="E19" s="1" t="s">
        <v>22</v>
      </c>
      <c r="F19" s="1" t="s">
        <v>41</v>
      </c>
      <c r="G19" s="1" t="s">
        <v>24</v>
      </c>
      <c r="H19" s="1" t="s">
        <v>18</v>
      </c>
      <c r="I19" s="1">
        <v>779.5</v>
      </c>
      <c r="J19" s="1">
        <v>2.5</v>
      </c>
      <c r="K19" s="1">
        <v>4.3</v>
      </c>
      <c r="L19" s="1" t="s">
        <v>19</v>
      </c>
    </row>
    <row r="20" spans="1:12" x14ac:dyDescent="0.3">
      <c r="A20" s="1">
        <v>19</v>
      </c>
      <c r="B20" s="1" t="s">
        <v>36</v>
      </c>
      <c r="C20" s="1" t="s">
        <v>53</v>
      </c>
      <c r="D20" s="1" t="s">
        <v>40</v>
      </c>
      <c r="E20" s="1" t="s">
        <v>32</v>
      </c>
      <c r="F20" s="1" t="s">
        <v>47</v>
      </c>
      <c r="G20" s="1" t="s">
        <v>17</v>
      </c>
      <c r="H20" s="1" t="s">
        <v>18</v>
      </c>
      <c r="I20" s="1">
        <v>640.65</v>
      </c>
      <c r="J20" s="1">
        <v>8.4</v>
      </c>
      <c r="K20" s="1">
        <v>4.0999999999999996</v>
      </c>
      <c r="L20" s="1" t="s">
        <v>35</v>
      </c>
    </row>
    <row r="21" spans="1:12" x14ac:dyDescent="0.3">
      <c r="A21" s="1">
        <v>20</v>
      </c>
      <c r="B21" s="1" t="s">
        <v>58</v>
      </c>
      <c r="C21" s="1" t="s">
        <v>42</v>
      </c>
      <c r="D21" s="1" t="s">
        <v>54</v>
      </c>
      <c r="E21" s="1" t="s">
        <v>55</v>
      </c>
      <c r="F21" s="1" t="s">
        <v>16</v>
      </c>
      <c r="G21" s="1" t="s">
        <v>17</v>
      </c>
      <c r="H21" s="1" t="s">
        <v>34</v>
      </c>
      <c r="I21" s="1">
        <v>702.19</v>
      </c>
      <c r="J21" s="1">
        <v>6.4</v>
      </c>
      <c r="K21" s="1">
        <v>3.2</v>
      </c>
      <c r="L21" s="1" t="s">
        <v>35</v>
      </c>
    </row>
    <row r="22" spans="1:12" x14ac:dyDescent="0.3">
      <c r="A22" s="1">
        <v>21</v>
      </c>
      <c r="B22" s="1" t="s">
        <v>58</v>
      </c>
      <c r="C22" s="1" t="s">
        <v>27</v>
      </c>
      <c r="D22" s="1" t="s">
        <v>21</v>
      </c>
      <c r="E22" s="1" t="s">
        <v>28</v>
      </c>
      <c r="F22" s="1" t="s">
        <v>33</v>
      </c>
      <c r="G22" s="1" t="s">
        <v>29</v>
      </c>
      <c r="H22" s="1" t="s">
        <v>34</v>
      </c>
      <c r="I22" s="1">
        <v>586.84</v>
      </c>
      <c r="J22" s="1">
        <v>6.4</v>
      </c>
      <c r="K22" s="1">
        <v>4.7</v>
      </c>
      <c r="L22" s="1" t="s">
        <v>51</v>
      </c>
    </row>
    <row r="23" spans="1:12" x14ac:dyDescent="0.3">
      <c r="A23" s="1">
        <v>22</v>
      </c>
      <c r="B23" s="1" t="s">
        <v>20</v>
      </c>
      <c r="C23" s="1" t="s">
        <v>27</v>
      </c>
      <c r="D23" s="1" t="s">
        <v>39</v>
      </c>
      <c r="E23" s="1" t="s">
        <v>22</v>
      </c>
      <c r="F23" s="1" t="s">
        <v>16</v>
      </c>
      <c r="G23" s="1" t="s">
        <v>29</v>
      </c>
      <c r="H23" s="1" t="s">
        <v>18</v>
      </c>
      <c r="I23" s="1">
        <v>134.66</v>
      </c>
      <c r="J23" s="1">
        <v>4.7</v>
      </c>
      <c r="K23" s="1">
        <v>3.3</v>
      </c>
      <c r="L23" s="1" t="s">
        <v>35</v>
      </c>
    </row>
    <row r="24" spans="1:12" x14ac:dyDescent="0.3">
      <c r="A24" s="1">
        <v>23</v>
      </c>
      <c r="B24" s="1" t="s">
        <v>30</v>
      </c>
      <c r="C24" s="1" t="s">
        <v>59</v>
      </c>
      <c r="D24" s="1" t="s">
        <v>54</v>
      </c>
      <c r="E24" s="1" t="s">
        <v>44</v>
      </c>
      <c r="F24" s="1" t="s">
        <v>41</v>
      </c>
      <c r="G24" s="1" t="s">
        <v>29</v>
      </c>
      <c r="H24" s="1" t="s">
        <v>18</v>
      </c>
      <c r="I24" s="1">
        <v>143.47999999999999</v>
      </c>
      <c r="J24" s="1">
        <v>6.5</v>
      </c>
      <c r="K24" s="1">
        <v>4.5</v>
      </c>
      <c r="L24" s="1" t="s">
        <v>51</v>
      </c>
    </row>
    <row r="25" spans="1:12" x14ac:dyDescent="0.3">
      <c r="A25" s="1">
        <v>24</v>
      </c>
      <c r="B25" s="1" t="s">
        <v>36</v>
      </c>
      <c r="C25" s="1" t="s">
        <v>37</v>
      </c>
      <c r="D25" s="1" t="s">
        <v>40</v>
      </c>
      <c r="E25" s="1" t="s">
        <v>44</v>
      </c>
      <c r="F25" s="1" t="s">
        <v>41</v>
      </c>
      <c r="G25" s="1" t="s">
        <v>29</v>
      </c>
      <c r="H25" s="1" t="s">
        <v>25</v>
      </c>
      <c r="I25" s="1">
        <v>359.6</v>
      </c>
      <c r="J25" s="1">
        <v>5.0999999999999996</v>
      </c>
      <c r="K25" s="1">
        <v>2.9</v>
      </c>
      <c r="L25" s="1" t="s">
        <v>35</v>
      </c>
    </row>
    <row r="26" spans="1:12" x14ac:dyDescent="0.3">
      <c r="A26" s="1">
        <v>25</v>
      </c>
      <c r="B26" s="1" t="s">
        <v>30</v>
      </c>
      <c r="C26" s="1" t="s">
        <v>56</v>
      </c>
      <c r="D26" s="1" t="s">
        <v>14</v>
      </c>
      <c r="E26" s="1" t="s">
        <v>32</v>
      </c>
      <c r="F26" s="1" t="s">
        <v>23</v>
      </c>
      <c r="G26" s="1" t="s">
        <v>24</v>
      </c>
      <c r="H26" s="1" t="s">
        <v>18</v>
      </c>
      <c r="I26" s="1">
        <v>657.77</v>
      </c>
      <c r="J26" s="1">
        <v>4.8</v>
      </c>
      <c r="K26" s="1">
        <v>4.4000000000000004</v>
      </c>
      <c r="L26" s="1" t="s">
        <v>51</v>
      </c>
    </row>
    <row r="27" spans="1:12" x14ac:dyDescent="0.3">
      <c r="A27" s="1">
        <v>26</v>
      </c>
      <c r="B27" s="1" t="s">
        <v>36</v>
      </c>
      <c r="C27" s="1" t="s">
        <v>42</v>
      </c>
      <c r="D27" s="1" t="s">
        <v>43</v>
      </c>
      <c r="E27" s="1" t="s">
        <v>15</v>
      </c>
      <c r="F27" s="1" t="s">
        <v>23</v>
      </c>
      <c r="G27" s="1" t="s">
        <v>17</v>
      </c>
      <c r="H27" s="1" t="s">
        <v>25</v>
      </c>
      <c r="I27" s="1">
        <v>628.75</v>
      </c>
      <c r="J27" s="1">
        <v>9.3000000000000007</v>
      </c>
      <c r="K27" s="1">
        <v>2.9</v>
      </c>
      <c r="L27" s="1" t="s">
        <v>51</v>
      </c>
    </row>
    <row r="28" spans="1:12" x14ac:dyDescent="0.3">
      <c r="A28" s="1">
        <v>27</v>
      </c>
      <c r="B28" s="1" t="s">
        <v>60</v>
      </c>
      <c r="C28" s="1" t="s">
        <v>45</v>
      </c>
      <c r="D28" s="1" t="s">
        <v>46</v>
      </c>
      <c r="E28" s="1" t="s">
        <v>15</v>
      </c>
      <c r="F28" s="1" t="s">
        <v>47</v>
      </c>
      <c r="G28" s="1" t="s">
        <v>24</v>
      </c>
      <c r="H28" s="1" t="s">
        <v>34</v>
      </c>
      <c r="I28" s="1">
        <v>146.36000000000001</v>
      </c>
      <c r="J28" s="1">
        <v>2.6</v>
      </c>
      <c r="K28" s="1">
        <v>3.6</v>
      </c>
      <c r="L28" s="1" t="s">
        <v>35</v>
      </c>
    </row>
    <row r="29" spans="1:12" x14ac:dyDescent="0.3">
      <c r="A29" s="1">
        <v>28</v>
      </c>
      <c r="B29" s="1" t="s">
        <v>12</v>
      </c>
      <c r="C29" s="1" t="s">
        <v>37</v>
      </c>
      <c r="D29" s="1" t="s">
        <v>39</v>
      </c>
      <c r="E29" s="1" t="s">
        <v>55</v>
      </c>
      <c r="F29" s="1" t="s">
        <v>41</v>
      </c>
      <c r="G29" s="1" t="s">
        <v>24</v>
      </c>
      <c r="H29" s="1" t="s">
        <v>25</v>
      </c>
      <c r="I29" s="1">
        <v>742.55</v>
      </c>
      <c r="J29" s="1">
        <v>9.5</v>
      </c>
      <c r="K29" s="1">
        <v>3.8</v>
      </c>
      <c r="L29" s="1" t="s">
        <v>19</v>
      </c>
    </row>
    <row r="30" spans="1:12" x14ac:dyDescent="0.3">
      <c r="A30" s="1">
        <v>29</v>
      </c>
      <c r="B30" s="1" t="s">
        <v>58</v>
      </c>
      <c r="C30" s="1" t="s">
        <v>56</v>
      </c>
      <c r="D30" s="1" t="s">
        <v>39</v>
      </c>
      <c r="E30" s="1" t="s">
        <v>32</v>
      </c>
      <c r="F30" s="1" t="s">
        <v>16</v>
      </c>
      <c r="G30" s="1" t="s">
        <v>29</v>
      </c>
      <c r="H30" s="1" t="s">
        <v>25</v>
      </c>
      <c r="I30" s="1">
        <v>269.24</v>
      </c>
      <c r="J30" s="1">
        <v>1.3</v>
      </c>
      <c r="K30" s="1">
        <v>3.5</v>
      </c>
      <c r="L30" s="1" t="s">
        <v>48</v>
      </c>
    </row>
    <row r="31" spans="1:12" x14ac:dyDescent="0.3">
      <c r="A31" s="1">
        <v>30</v>
      </c>
      <c r="B31" s="1" t="s">
        <v>36</v>
      </c>
      <c r="C31" s="1" t="s">
        <v>59</v>
      </c>
      <c r="D31" s="1" t="s">
        <v>39</v>
      </c>
      <c r="E31" s="1" t="s">
        <v>61</v>
      </c>
      <c r="F31" s="1" t="s">
        <v>16</v>
      </c>
      <c r="G31" s="1" t="s">
        <v>24</v>
      </c>
      <c r="H31" s="1" t="s">
        <v>18</v>
      </c>
      <c r="I31" s="1">
        <v>737.02</v>
      </c>
      <c r="J31" s="1">
        <v>7.7</v>
      </c>
      <c r="K31" s="1">
        <v>3.5</v>
      </c>
      <c r="L31" s="1" t="s">
        <v>35</v>
      </c>
    </row>
    <row r="32" spans="1:12" x14ac:dyDescent="0.3">
      <c r="A32" s="1">
        <v>31</v>
      </c>
      <c r="B32" s="1" t="s">
        <v>26</v>
      </c>
      <c r="C32" s="1" t="s">
        <v>49</v>
      </c>
      <c r="D32" s="1" t="s">
        <v>54</v>
      </c>
      <c r="E32" s="1" t="s">
        <v>15</v>
      </c>
      <c r="F32" s="1" t="s">
        <v>23</v>
      </c>
      <c r="G32" s="1" t="s">
        <v>24</v>
      </c>
      <c r="H32" s="1" t="s">
        <v>18</v>
      </c>
      <c r="I32" s="1">
        <v>716.93</v>
      </c>
      <c r="J32" s="1">
        <v>8.6</v>
      </c>
      <c r="K32" s="1">
        <v>4.0999999999999996</v>
      </c>
      <c r="L32" s="1" t="s">
        <v>19</v>
      </c>
    </row>
    <row r="33" spans="1:12" x14ac:dyDescent="0.3">
      <c r="A33" s="1">
        <v>32</v>
      </c>
      <c r="B33" s="1" t="s">
        <v>30</v>
      </c>
      <c r="C33" s="1" t="s">
        <v>42</v>
      </c>
      <c r="D33" s="1" t="s">
        <v>39</v>
      </c>
      <c r="E33" s="1" t="s">
        <v>32</v>
      </c>
      <c r="F33" s="1" t="s">
        <v>23</v>
      </c>
      <c r="G33" s="1" t="s">
        <v>24</v>
      </c>
      <c r="H33" s="1" t="s">
        <v>34</v>
      </c>
      <c r="I33" s="1">
        <v>730.08</v>
      </c>
      <c r="J33" s="1">
        <v>6</v>
      </c>
      <c r="K33" s="1">
        <v>3.4</v>
      </c>
      <c r="L33" s="1" t="s">
        <v>51</v>
      </c>
    </row>
    <row r="34" spans="1:12" x14ac:dyDescent="0.3">
      <c r="A34" s="1">
        <v>33</v>
      </c>
      <c r="B34" s="1" t="s">
        <v>30</v>
      </c>
      <c r="C34" s="1" t="s">
        <v>45</v>
      </c>
      <c r="D34" s="1" t="s">
        <v>21</v>
      </c>
      <c r="E34" s="1" t="s">
        <v>28</v>
      </c>
      <c r="F34" s="1" t="s">
        <v>41</v>
      </c>
      <c r="G34" s="1" t="s">
        <v>29</v>
      </c>
      <c r="H34" s="1" t="s">
        <v>18</v>
      </c>
      <c r="I34" s="1">
        <v>380.94</v>
      </c>
      <c r="J34" s="1">
        <v>9</v>
      </c>
      <c r="K34" s="1">
        <v>4.4000000000000004</v>
      </c>
      <c r="L34" s="1" t="s">
        <v>51</v>
      </c>
    </row>
    <row r="35" spans="1:12" x14ac:dyDescent="0.3">
      <c r="A35" s="1">
        <v>34</v>
      </c>
      <c r="B35" s="1" t="s">
        <v>58</v>
      </c>
      <c r="C35" s="1" t="s">
        <v>37</v>
      </c>
      <c r="D35" s="1" t="s">
        <v>21</v>
      </c>
      <c r="E35" s="1" t="s">
        <v>55</v>
      </c>
      <c r="F35" s="1" t="s">
        <v>16</v>
      </c>
      <c r="G35" s="1" t="s">
        <v>24</v>
      </c>
      <c r="H35" s="1" t="s">
        <v>18</v>
      </c>
      <c r="I35" s="1">
        <v>442.34</v>
      </c>
      <c r="J35" s="1">
        <v>8.5</v>
      </c>
      <c r="K35" s="1">
        <v>3</v>
      </c>
      <c r="L35" s="1" t="s">
        <v>51</v>
      </c>
    </row>
    <row r="36" spans="1:12" x14ac:dyDescent="0.3">
      <c r="A36" s="1">
        <v>35</v>
      </c>
      <c r="B36" s="1" t="s">
        <v>30</v>
      </c>
      <c r="C36" s="1" t="s">
        <v>59</v>
      </c>
      <c r="D36" s="1" t="s">
        <v>40</v>
      </c>
      <c r="E36" s="1" t="s">
        <v>44</v>
      </c>
      <c r="F36" s="1" t="s">
        <v>23</v>
      </c>
      <c r="G36" s="1" t="s">
        <v>17</v>
      </c>
      <c r="H36" s="1" t="s">
        <v>34</v>
      </c>
      <c r="I36" s="1">
        <v>658.41</v>
      </c>
      <c r="J36" s="1">
        <v>1.3</v>
      </c>
      <c r="K36" s="1">
        <v>4.0999999999999996</v>
      </c>
      <c r="L36" s="1" t="s">
        <v>48</v>
      </c>
    </row>
    <row r="37" spans="1:12" x14ac:dyDescent="0.3">
      <c r="A37" s="1">
        <v>36</v>
      </c>
      <c r="B37" s="1" t="s">
        <v>36</v>
      </c>
      <c r="C37" s="1" t="s">
        <v>37</v>
      </c>
      <c r="D37" s="1" t="s">
        <v>31</v>
      </c>
      <c r="E37" s="1" t="s">
        <v>15</v>
      </c>
      <c r="F37" s="1" t="s">
        <v>33</v>
      </c>
      <c r="G37" s="1" t="s">
        <v>17</v>
      </c>
      <c r="H37" s="1" t="s">
        <v>18</v>
      </c>
      <c r="I37" s="1">
        <v>441.74</v>
      </c>
      <c r="J37" s="1">
        <v>2.7</v>
      </c>
      <c r="K37" s="1">
        <v>4.8</v>
      </c>
      <c r="L37" s="1" t="s">
        <v>48</v>
      </c>
    </row>
    <row r="38" spans="1:12" x14ac:dyDescent="0.3">
      <c r="A38" s="1">
        <v>37</v>
      </c>
      <c r="B38" s="1" t="s">
        <v>20</v>
      </c>
      <c r="C38" s="1" t="s">
        <v>45</v>
      </c>
      <c r="D38" s="1" t="s">
        <v>43</v>
      </c>
      <c r="E38" s="1" t="s">
        <v>28</v>
      </c>
      <c r="F38" s="1" t="s">
        <v>33</v>
      </c>
      <c r="G38" s="1" t="s">
        <v>24</v>
      </c>
      <c r="H38" s="1" t="s">
        <v>34</v>
      </c>
      <c r="I38" s="1">
        <v>461.34</v>
      </c>
      <c r="J38" s="1">
        <v>3</v>
      </c>
      <c r="K38" s="1">
        <v>2.9</v>
      </c>
      <c r="L38" s="1" t="s">
        <v>48</v>
      </c>
    </row>
    <row r="39" spans="1:12" x14ac:dyDescent="0.3">
      <c r="A39" s="1">
        <v>38</v>
      </c>
      <c r="B39" s="1" t="s">
        <v>36</v>
      </c>
      <c r="C39" s="1" t="s">
        <v>42</v>
      </c>
      <c r="D39" s="1" t="s">
        <v>40</v>
      </c>
      <c r="E39" s="1" t="s">
        <v>32</v>
      </c>
      <c r="F39" s="1" t="s">
        <v>16</v>
      </c>
      <c r="G39" s="1" t="s">
        <v>24</v>
      </c>
      <c r="H39" s="1" t="s">
        <v>34</v>
      </c>
      <c r="I39" s="1">
        <v>338.89</v>
      </c>
      <c r="J39" s="1">
        <v>7.9</v>
      </c>
      <c r="K39" s="1">
        <v>3</v>
      </c>
      <c r="L39" s="1" t="s">
        <v>48</v>
      </c>
    </row>
    <row r="40" spans="1:12" x14ac:dyDescent="0.3">
      <c r="A40" s="1">
        <v>39</v>
      </c>
      <c r="B40" s="1" t="s">
        <v>20</v>
      </c>
      <c r="C40" s="1" t="s">
        <v>45</v>
      </c>
      <c r="D40" s="1" t="s">
        <v>14</v>
      </c>
      <c r="E40" s="1" t="s">
        <v>61</v>
      </c>
      <c r="F40" s="1" t="s">
        <v>47</v>
      </c>
      <c r="G40" s="1" t="s">
        <v>29</v>
      </c>
      <c r="H40" s="1" t="s">
        <v>25</v>
      </c>
      <c r="I40" s="1">
        <v>678.23</v>
      </c>
      <c r="J40" s="1">
        <v>6.6</v>
      </c>
      <c r="K40" s="1">
        <v>4.3</v>
      </c>
      <c r="L40" s="1" t="s">
        <v>35</v>
      </c>
    </row>
    <row r="41" spans="1:12" x14ac:dyDescent="0.3">
      <c r="A41" s="1">
        <v>40</v>
      </c>
      <c r="B41" s="1" t="s">
        <v>20</v>
      </c>
      <c r="C41" s="1" t="s">
        <v>49</v>
      </c>
      <c r="D41" s="1" t="s">
        <v>57</v>
      </c>
      <c r="E41" s="1" t="s">
        <v>61</v>
      </c>
      <c r="F41" s="1" t="s">
        <v>47</v>
      </c>
      <c r="G41" s="1" t="s">
        <v>17</v>
      </c>
      <c r="H41" s="1" t="s">
        <v>18</v>
      </c>
      <c r="I41" s="1">
        <v>645.24</v>
      </c>
      <c r="J41" s="1">
        <v>8</v>
      </c>
      <c r="K41" s="1">
        <v>4.7</v>
      </c>
      <c r="L41" s="1" t="s">
        <v>48</v>
      </c>
    </row>
    <row r="42" spans="1:12" x14ac:dyDescent="0.3">
      <c r="A42" s="1">
        <v>41</v>
      </c>
      <c r="B42" s="1" t="s">
        <v>52</v>
      </c>
      <c r="C42" s="1" t="s">
        <v>53</v>
      </c>
      <c r="D42" s="1" t="s">
        <v>43</v>
      </c>
      <c r="E42" s="1" t="s">
        <v>44</v>
      </c>
      <c r="F42" s="1" t="s">
        <v>16</v>
      </c>
      <c r="G42" s="1" t="s">
        <v>24</v>
      </c>
      <c r="H42" s="1" t="s">
        <v>34</v>
      </c>
      <c r="I42" s="1">
        <v>384.3</v>
      </c>
      <c r="J42" s="1">
        <v>4.9000000000000004</v>
      </c>
      <c r="K42" s="1">
        <v>3.5</v>
      </c>
      <c r="L42" s="1" t="s">
        <v>51</v>
      </c>
    </row>
    <row r="43" spans="1:12" x14ac:dyDescent="0.3">
      <c r="A43" s="1">
        <v>42</v>
      </c>
      <c r="B43" s="1" t="s">
        <v>30</v>
      </c>
      <c r="C43" s="1" t="s">
        <v>59</v>
      </c>
      <c r="D43" s="1" t="s">
        <v>40</v>
      </c>
      <c r="E43" s="1" t="s">
        <v>28</v>
      </c>
      <c r="F43" s="1" t="s">
        <v>47</v>
      </c>
      <c r="G43" s="1" t="s">
        <v>17</v>
      </c>
      <c r="H43" s="1" t="s">
        <v>34</v>
      </c>
      <c r="I43" s="1">
        <v>248</v>
      </c>
      <c r="J43" s="1">
        <v>8.6</v>
      </c>
      <c r="K43" s="1">
        <v>2.8</v>
      </c>
      <c r="L43" s="1" t="s">
        <v>48</v>
      </c>
    </row>
    <row r="44" spans="1:12" x14ac:dyDescent="0.3">
      <c r="A44" s="1">
        <v>43</v>
      </c>
      <c r="B44" s="1" t="s">
        <v>52</v>
      </c>
      <c r="C44" s="1" t="s">
        <v>49</v>
      </c>
      <c r="D44" s="1" t="s">
        <v>31</v>
      </c>
      <c r="E44" s="1" t="s">
        <v>22</v>
      </c>
      <c r="F44" s="1" t="s">
        <v>23</v>
      </c>
      <c r="G44" s="1" t="s">
        <v>17</v>
      </c>
      <c r="H44" s="1" t="s">
        <v>25</v>
      </c>
      <c r="I44" s="1">
        <v>399.37</v>
      </c>
      <c r="J44" s="1">
        <v>9.1999999999999993</v>
      </c>
      <c r="K44" s="1">
        <v>3.8</v>
      </c>
      <c r="L44" s="1" t="s">
        <v>48</v>
      </c>
    </row>
    <row r="45" spans="1:12" x14ac:dyDescent="0.3">
      <c r="A45" s="1">
        <v>44</v>
      </c>
      <c r="B45" s="1" t="s">
        <v>20</v>
      </c>
      <c r="C45" s="1" t="s">
        <v>42</v>
      </c>
      <c r="D45" s="1" t="s">
        <v>54</v>
      </c>
      <c r="E45" s="1" t="s">
        <v>32</v>
      </c>
      <c r="F45" s="1" t="s">
        <v>16</v>
      </c>
      <c r="G45" s="1" t="s">
        <v>17</v>
      </c>
      <c r="H45" s="1" t="s">
        <v>34</v>
      </c>
      <c r="I45" s="1">
        <v>233.34</v>
      </c>
      <c r="J45" s="1">
        <v>3</v>
      </c>
      <c r="K45" s="1">
        <v>4.4000000000000004</v>
      </c>
      <c r="L45" s="1" t="s">
        <v>19</v>
      </c>
    </row>
    <row r="46" spans="1:12" x14ac:dyDescent="0.3">
      <c r="A46" s="1">
        <v>45</v>
      </c>
      <c r="B46" s="1" t="s">
        <v>62</v>
      </c>
      <c r="C46" s="1" t="s">
        <v>49</v>
      </c>
      <c r="D46" s="1" t="s">
        <v>31</v>
      </c>
      <c r="E46" s="1" t="s">
        <v>55</v>
      </c>
      <c r="F46" s="1" t="s">
        <v>23</v>
      </c>
      <c r="G46" s="1" t="s">
        <v>17</v>
      </c>
      <c r="H46" s="1" t="s">
        <v>25</v>
      </c>
      <c r="I46" s="1">
        <v>710.14</v>
      </c>
      <c r="J46" s="1">
        <v>4</v>
      </c>
      <c r="K46" s="1">
        <v>4.5</v>
      </c>
      <c r="L46" s="1" t="s">
        <v>35</v>
      </c>
    </row>
    <row r="47" spans="1:12" x14ac:dyDescent="0.3">
      <c r="A47" s="1">
        <v>46</v>
      </c>
      <c r="B47" s="1" t="s">
        <v>26</v>
      </c>
      <c r="C47" s="1" t="s">
        <v>42</v>
      </c>
      <c r="D47" s="1" t="s">
        <v>40</v>
      </c>
      <c r="E47" s="1" t="s">
        <v>22</v>
      </c>
      <c r="F47" s="1" t="s">
        <v>16</v>
      </c>
      <c r="G47" s="1" t="s">
        <v>29</v>
      </c>
      <c r="H47" s="1" t="s">
        <v>18</v>
      </c>
      <c r="I47" s="1">
        <v>328.83</v>
      </c>
      <c r="J47" s="1">
        <v>7</v>
      </c>
      <c r="K47" s="1">
        <v>4.5999999999999996</v>
      </c>
      <c r="L47" s="1" t="s">
        <v>19</v>
      </c>
    </row>
    <row r="48" spans="1:12" x14ac:dyDescent="0.3">
      <c r="A48" s="1">
        <v>47</v>
      </c>
      <c r="B48" s="1" t="s">
        <v>20</v>
      </c>
      <c r="C48" s="1" t="s">
        <v>37</v>
      </c>
      <c r="D48" s="1" t="s">
        <v>46</v>
      </c>
      <c r="E48" s="1" t="s">
        <v>44</v>
      </c>
      <c r="F48" s="1" t="s">
        <v>47</v>
      </c>
      <c r="G48" s="1" t="s">
        <v>29</v>
      </c>
      <c r="H48" s="1" t="s">
        <v>34</v>
      </c>
      <c r="I48" s="1">
        <v>530.44000000000005</v>
      </c>
      <c r="J48" s="1">
        <v>3.7</v>
      </c>
      <c r="K48" s="1">
        <v>3.3</v>
      </c>
      <c r="L48" s="1" t="s">
        <v>48</v>
      </c>
    </row>
    <row r="49" spans="1:12" x14ac:dyDescent="0.3">
      <c r="A49" s="1">
        <v>48</v>
      </c>
      <c r="B49" s="1" t="s">
        <v>52</v>
      </c>
      <c r="C49" s="1" t="s">
        <v>49</v>
      </c>
      <c r="D49" s="1" t="s">
        <v>14</v>
      </c>
      <c r="E49" s="1" t="s">
        <v>28</v>
      </c>
      <c r="F49" s="1" t="s">
        <v>23</v>
      </c>
      <c r="G49" s="1" t="s">
        <v>24</v>
      </c>
      <c r="H49" s="1" t="s">
        <v>25</v>
      </c>
      <c r="I49" s="1">
        <v>118.72</v>
      </c>
      <c r="J49" s="1">
        <v>9.3000000000000007</v>
      </c>
      <c r="K49" s="1">
        <v>2.8</v>
      </c>
      <c r="L49" s="1" t="s">
        <v>51</v>
      </c>
    </row>
    <row r="50" spans="1:12" x14ac:dyDescent="0.3">
      <c r="A50" s="1">
        <v>49</v>
      </c>
      <c r="B50" s="1" t="s">
        <v>62</v>
      </c>
      <c r="C50" s="1" t="s">
        <v>13</v>
      </c>
      <c r="D50" s="1" t="s">
        <v>14</v>
      </c>
      <c r="E50" s="1" t="s">
        <v>44</v>
      </c>
      <c r="F50" s="1" t="s">
        <v>41</v>
      </c>
      <c r="G50" s="1" t="s">
        <v>17</v>
      </c>
      <c r="H50" s="1" t="s">
        <v>25</v>
      </c>
      <c r="I50" s="1">
        <v>77.510000000000005</v>
      </c>
      <c r="J50" s="1">
        <v>6.9</v>
      </c>
      <c r="K50" s="1">
        <v>3.4</v>
      </c>
      <c r="L50" s="1" t="s">
        <v>19</v>
      </c>
    </row>
    <row r="51" spans="1:12" x14ac:dyDescent="0.3">
      <c r="A51" s="1">
        <v>50</v>
      </c>
      <c r="B51" s="1" t="s">
        <v>62</v>
      </c>
      <c r="C51" s="1" t="s">
        <v>63</v>
      </c>
      <c r="D51" s="1" t="s">
        <v>31</v>
      </c>
      <c r="E51" s="1" t="s">
        <v>32</v>
      </c>
      <c r="F51" s="1" t="s">
        <v>23</v>
      </c>
      <c r="G51" s="1" t="s">
        <v>29</v>
      </c>
      <c r="H51" s="1" t="s">
        <v>25</v>
      </c>
      <c r="I51" s="1">
        <v>414.74</v>
      </c>
      <c r="J51" s="1">
        <v>9.4</v>
      </c>
      <c r="K51" s="1">
        <v>3</v>
      </c>
      <c r="L51" s="1" t="s">
        <v>19</v>
      </c>
    </row>
    <row r="52" spans="1:12" x14ac:dyDescent="0.3">
      <c r="A52" s="1">
        <v>51</v>
      </c>
      <c r="B52" s="1" t="s">
        <v>52</v>
      </c>
      <c r="C52" s="1" t="s">
        <v>13</v>
      </c>
      <c r="D52" s="1" t="s">
        <v>39</v>
      </c>
      <c r="E52" s="1" t="s">
        <v>61</v>
      </c>
      <c r="F52" s="1" t="s">
        <v>41</v>
      </c>
      <c r="G52" s="1" t="s">
        <v>29</v>
      </c>
      <c r="H52" s="1" t="s">
        <v>34</v>
      </c>
      <c r="I52" s="1">
        <v>318.42</v>
      </c>
      <c r="J52" s="1">
        <v>9.4</v>
      </c>
      <c r="K52" s="1">
        <v>4.7</v>
      </c>
      <c r="L52" s="1" t="s">
        <v>35</v>
      </c>
    </row>
    <row r="53" spans="1:12" x14ac:dyDescent="0.3">
      <c r="A53" s="1">
        <v>52</v>
      </c>
      <c r="B53" s="1" t="s">
        <v>26</v>
      </c>
      <c r="C53" s="1" t="s">
        <v>59</v>
      </c>
      <c r="D53" s="1" t="s">
        <v>54</v>
      </c>
      <c r="E53" s="1" t="s">
        <v>22</v>
      </c>
      <c r="F53" s="1" t="s">
        <v>33</v>
      </c>
      <c r="G53" s="1" t="s">
        <v>29</v>
      </c>
      <c r="H53" s="1" t="s">
        <v>18</v>
      </c>
      <c r="I53" s="1">
        <v>632.30999999999995</v>
      </c>
      <c r="J53" s="1">
        <v>8.4</v>
      </c>
      <c r="K53" s="1">
        <v>4.7</v>
      </c>
      <c r="L53" s="1" t="s">
        <v>19</v>
      </c>
    </row>
    <row r="54" spans="1:12" x14ac:dyDescent="0.3">
      <c r="A54" s="1">
        <v>53</v>
      </c>
      <c r="B54" s="1" t="s">
        <v>62</v>
      </c>
      <c r="C54" s="1" t="s">
        <v>45</v>
      </c>
      <c r="D54" s="1" t="s">
        <v>31</v>
      </c>
      <c r="E54" s="1" t="s">
        <v>55</v>
      </c>
      <c r="F54" s="1" t="s">
        <v>47</v>
      </c>
      <c r="G54" s="1" t="s">
        <v>24</v>
      </c>
      <c r="H54" s="1" t="s">
        <v>18</v>
      </c>
      <c r="I54" s="1">
        <v>239.64</v>
      </c>
      <c r="J54" s="1">
        <v>2.4</v>
      </c>
      <c r="K54" s="1">
        <v>3</v>
      </c>
      <c r="L54" s="1" t="s">
        <v>19</v>
      </c>
    </row>
    <row r="55" spans="1:12" x14ac:dyDescent="0.3">
      <c r="A55" s="1">
        <v>54</v>
      </c>
      <c r="B55" s="1" t="s">
        <v>58</v>
      </c>
      <c r="C55" s="1" t="s">
        <v>27</v>
      </c>
      <c r="D55" s="1" t="s">
        <v>39</v>
      </c>
      <c r="E55" s="1" t="s">
        <v>55</v>
      </c>
      <c r="F55" s="1" t="s">
        <v>33</v>
      </c>
      <c r="G55" s="1" t="s">
        <v>24</v>
      </c>
      <c r="H55" s="1" t="s">
        <v>34</v>
      </c>
      <c r="I55" s="1">
        <v>788.03</v>
      </c>
      <c r="J55" s="1">
        <v>6.1</v>
      </c>
      <c r="K55" s="1">
        <v>3.2</v>
      </c>
      <c r="L55" s="1" t="s">
        <v>51</v>
      </c>
    </row>
    <row r="56" spans="1:12" x14ac:dyDescent="0.3">
      <c r="A56" s="1">
        <v>55</v>
      </c>
      <c r="B56" s="1" t="s">
        <v>30</v>
      </c>
      <c r="C56" s="1" t="s">
        <v>42</v>
      </c>
      <c r="D56" s="1" t="s">
        <v>39</v>
      </c>
      <c r="E56" s="1" t="s">
        <v>55</v>
      </c>
      <c r="F56" s="1" t="s">
        <v>47</v>
      </c>
      <c r="G56" s="1" t="s">
        <v>24</v>
      </c>
      <c r="H56" s="1" t="s">
        <v>18</v>
      </c>
      <c r="I56" s="1">
        <v>100.02</v>
      </c>
      <c r="J56" s="1">
        <v>3.1</v>
      </c>
      <c r="K56" s="1">
        <v>4.4000000000000004</v>
      </c>
      <c r="L56" s="1" t="s">
        <v>35</v>
      </c>
    </row>
    <row r="57" spans="1:12" x14ac:dyDescent="0.3">
      <c r="A57" s="1">
        <v>56</v>
      </c>
      <c r="B57" s="1" t="s">
        <v>58</v>
      </c>
      <c r="C57" s="1" t="s">
        <v>63</v>
      </c>
      <c r="D57" s="1" t="s">
        <v>54</v>
      </c>
      <c r="E57" s="1" t="s">
        <v>44</v>
      </c>
      <c r="F57" s="1" t="s">
        <v>33</v>
      </c>
      <c r="G57" s="1" t="s">
        <v>24</v>
      </c>
      <c r="H57" s="1" t="s">
        <v>25</v>
      </c>
      <c r="I57" s="1">
        <v>342.14</v>
      </c>
      <c r="J57" s="1">
        <v>5.2</v>
      </c>
      <c r="K57" s="1">
        <v>2.8</v>
      </c>
      <c r="L57" s="1" t="s">
        <v>35</v>
      </c>
    </row>
    <row r="58" spans="1:12" x14ac:dyDescent="0.3">
      <c r="A58" s="1">
        <v>57</v>
      </c>
      <c r="B58" s="1" t="s">
        <v>38</v>
      </c>
      <c r="C58" s="1" t="s">
        <v>27</v>
      </c>
      <c r="D58" s="1" t="s">
        <v>39</v>
      </c>
      <c r="E58" s="1" t="s">
        <v>22</v>
      </c>
      <c r="F58" s="1" t="s">
        <v>23</v>
      </c>
      <c r="G58" s="1" t="s">
        <v>17</v>
      </c>
      <c r="H58" s="1" t="s">
        <v>25</v>
      </c>
      <c r="I58" s="1">
        <v>747.33</v>
      </c>
      <c r="J58" s="1">
        <v>1.8</v>
      </c>
      <c r="K58" s="1">
        <v>5</v>
      </c>
      <c r="L58" s="1" t="s">
        <v>19</v>
      </c>
    </row>
    <row r="59" spans="1:12" x14ac:dyDescent="0.3">
      <c r="A59" s="1">
        <v>58</v>
      </c>
      <c r="B59" s="1" t="s">
        <v>58</v>
      </c>
      <c r="C59" s="1" t="s">
        <v>56</v>
      </c>
      <c r="D59" s="1" t="s">
        <v>50</v>
      </c>
      <c r="E59" s="1" t="s">
        <v>44</v>
      </c>
      <c r="F59" s="1" t="s">
        <v>16</v>
      </c>
      <c r="G59" s="1" t="s">
        <v>29</v>
      </c>
      <c r="H59" s="1" t="s">
        <v>34</v>
      </c>
      <c r="I59" s="1">
        <v>106.07</v>
      </c>
      <c r="J59" s="1">
        <v>3.7</v>
      </c>
      <c r="K59" s="1">
        <v>4.0999999999999996</v>
      </c>
      <c r="L59" s="1" t="s">
        <v>19</v>
      </c>
    </row>
    <row r="60" spans="1:12" x14ac:dyDescent="0.3">
      <c r="A60" s="1">
        <v>59</v>
      </c>
      <c r="B60" s="1" t="s">
        <v>30</v>
      </c>
      <c r="C60" s="1" t="s">
        <v>53</v>
      </c>
      <c r="D60" s="1" t="s">
        <v>54</v>
      </c>
      <c r="E60" s="1" t="s">
        <v>15</v>
      </c>
      <c r="F60" s="1" t="s">
        <v>47</v>
      </c>
      <c r="G60" s="1" t="s">
        <v>24</v>
      </c>
      <c r="H60" s="1" t="s">
        <v>34</v>
      </c>
      <c r="I60" s="1">
        <v>316.58</v>
      </c>
      <c r="J60" s="1">
        <v>4.9000000000000004</v>
      </c>
      <c r="K60" s="1">
        <v>2.6</v>
      </c>
      <c r="L60" s="1" t="s">
        <v>19</v>
      </c>
    </row>
    <row r="61" spans="1:12" x14ac:dyDescent="0.3">
      <c r="A61" s="1">
        <v>60</v>
      </c>
      <c r="B61" s="1" t="s">
        <v>52</v>
      </c>
      <c r="C61" s="1" t="s">
        <v>56</v>
      </c>
      <c r="D61" s="1" t="s">
        <v>50</v>
      </c>
      <c r="E61" s="1" t="s">
        <v>32</v>
      </c>
      <c r="F61" s="1" t="s">
        <v>23</v>
      </c>
      <c r="G61" s="1" t="s">
        <v>29</v>
      </c>
      <c r="H61" s="1" t="s">
        <v>25</v>
      </c>
      <c r="I61" s="1">
        <v>63.68</v>
      </c>
      <c r="J61" s="1">
        <v>9.6999999999999993</v>
      </c>
      <c r="K61" s="1">
        <v>4.4000000000000004</v>
      </c>
      <c r="L61" s="1" t="s">
        <v>19</v>
      </c>
    </row>
    <row r="62" spans="1:12" x14ac:dyDescent="0.3">
      <c r="A62" s="1">
        <v>61</v>
      </c>
      <c r="B62" s="1" t="s">
        <v>36</v>
      </c>
      <c r="C62" s="1" t="s">
        <v>37</v>
      </c>
      <c r="D62" s="1" t="s">
        <v>21</v>
      </c>
      <c r="E62" s="1" t="s">
        <v>32</v>
      </c>
      <c r="F62" s="1" t="s">
        <v>23</v>
      </c>
      <c r="G62" s="1" t="s">
        <v>29</v>
      </c>
      <c r="H62" s="1" t="s">
        <v>18</v>
      </c>
      <c r="I62" s="1">
        <v>350.2</v>
      </c>
      <c r="J62" s="1">
        <v>7.8</v>
      </c>
      <c r="K62" s="1">
        <v>3.8</v>
      </c>
      <c r="L62" s="1" t="s">
        <v>35</v>
      </c>
    </row>
    <row r="63" spans="1:12" x14ac:dyDescent="0.3">
      <c r="A63" s="1">
        <v>62</v>
      </c>
      <c r="B63" s="1" t="s">
        <v>26</v>
      </c>
      <c r="C63" s="1" t="s">
        <v>37</v>
      </c>
      <c r="D63" s="1" t="s">
        <v>40</v>
      </c>
      <c r="E63" s="1" t="s">
        <v>15</v>
      </c>
      <c r="F63" s="1" t="s">
        <v>23</v>
      </c>
      <c r="G63" s="1" t="s">
        <v>29</v>
      </c>
      <c r="H63" s="1" t="s">
        <v>25</v>
      </c>
      <c r="I63" s="1">
        <v>389.24</v>
      </c>
      <c r="J63" s="1">
        <v>6.4</v>
      </c>
      <c r="K63" s="1">
        <v>4.7</v>
      </c>
      <c r="L63" s="1" t="s">
        <v>35</v>
      </c>
    </row>
    <row r="64" spans="1:12" x14ac:dyDescent="0.3">
      <c r="A64" s="1">
        <v>63</v>
      </c>
      <c r="B64" s="1" t="s">
        <v>58</v>
      </c>
      <c r="C64" s="1" t="s">
        <v>53</v>
      </c>
      <c r="D64" s="1" t="s">
        <v>39</v>
      </c>
      <c r="E64" s="1" t="s">
        <v>55</v>
      </c>
      <c r="F64" s="1" t="s">
        <v>41</v>
      </c>
      <c r="G64" s="1" t="s">
        <v>17</v>
      </c>
      <c r="H64" s="1" t="s">
        <v>18</v>
      </c>
      <c r="I64" s="1">
        <v>79.86</v>
      </c>
      <c r="J64" s="1">
        <v>2.6</v>
      </c>
      <c r="K64" s="1">
        <v>4.5</v>
      </c>
      <c r="L64" s="1" t="s">
        <v>51</v>
      </c>
    </row>
    <row r="65" spans="1:12" x14ac:dyDescent="0.3">
      <c r="A65" s="1">
        <v>64</v>
      </c>
      <c r="B65" s="1" t="s">
        <v>62</v>
      </c>
      <c r="C65" s="1" t="s">
        <v>63</v>
      </c>
      <c r="D65" s="1" t="s">
        <v>21</v>
      </c>
      <c r="E65" s="1" t="s">
        <v>61</v>
      </c>
      <c r="F65" s="1" t="s">
        <v>16</v>
      </c>
      <c r="G65" s="1" t="s">
        <v>29</v>
      </c>
      <c r="H65" s="1" t="s">
        <v>34</v>
      </c>
      <c r="I65" s="1">
        <v>385.11</v>
      </c>
      <c r="J65" s="1">
        <v>3.2</v>
      </c>
      <c r="K65" s="1">
        <v>2.6</v>
      </c>
      <c r="L65" s="1" t="s">
        <v>51</v>
      </c>
    </row>
    <row r="66" spans="1:12" x14ac:dyDescent="0.3">
      <c r="A66" s="1">
        <v>65</v>
      </c>
      <c r="B66" s="1" t="s">
        <v>58</v>
      </c>
      <c r="C66" s="1" t="s">
        <v>56</v>
      </c>
      <c r="D66" s="1" t="s">
        <v>43</v>
      </c>
      <c r="E66" s="1" t="s">
        <v>22</v>
      </c>
      <c r="F66" s="1" t="s">
        <v>33</v>
      </c>
      <c r="G66" s="1" t="s">
        <v>29</v>
      </c>
      <c r="H66" s="1" t="s">
        <v>34</v>
      </c>
      <c r="I66" s="1">
        <v>634.77</v>
      </c>
      <c r="J66" s="1">
        <v>2.6</v>
      </c>
      <c r="K66" s="1">
        <v>4.8</v>
      </c>
      <c r="L66" s="1" t="s">
        <v>51</v>
      </c>
    </row>
    <row r="67" spans="1:12" x14ac:dyDescent="0.3">
      <c r="A67" s="1">
        <v>66</v>
      </c>
      <c r="B67" s="1" t="s">
        <v>36</v>
      </c>
      <c r="C67" s="1" t="s">
        <v>63</v>
      </c>
      <c r="D67" s="1" t="s">
        <v>57</v>
      </c>
      <c r="E67" s="1" t="s">
        <v>44</v>
      </c>
      <c r="F67" s="1" t="s">
        <v>23</v>
      </c>
      <c r="G67" s="1" t="s">
        <v>17</v>
      </c>
      <c r="H67" s="1" t="s">
        <v>18</v>
      </c>
      <c r="I67" s="1">
        <v>447.81</v>
      </c>
      <c r="J67" s="1">
        <v>4.3</v>
      </c>
      <c r="K67" s="1">
        <v>3.9</v>
      </c>
      <c r="L67" s="1" t="s">
        <v>35</v>
      </c>
    </row>
    <row r="68" spans="1:12" x14ac:dyDescent="0.3">
      <c r="A68" s="1">
        <v>67</v>
      </c>
      <c r="B68" s="1" t="s">
        <v>30</v>
      </c>
      <c r="C68" s="1" t="s">
        <v>56</v>
      </c>
      <c r="D68" s="1" t="s">
        <v>57</v>
      </c>
      <c r="E68" s="1" t="s">
        <v>61</v>
      </c>
      <c r="F68" s="1" t="s">
        <v>16</v>
      </c>
      <c r="G68" s="1" t="s">
        <v>24</v>
      </c>
      <c r="H68" s="1" t="s">
        <v>25</v>
      </c>
      <c r="I68" s="1">
        <v>365.88</v>
      </c>
      <c r="J68" s="1">
        <v>9</v>
      </c>
      <c r="K68" s="1">
        <v>4</v>
      </c>
      <c r="L68" s="1" t="s">
        <v>19</v>
      </c>
    </row>
    <row r="69" spans="1:12" x14ac:dyDescent="0.3">
      <c r="A69" s="1">
        <v>68</v>
      </c>
      <c r="B69" s="1" t="s">
        <v>52</v>
      </c>
      <c r="C69" s="1" t="s">
        <v>13</v>
      </c>
      <c r="D69" s="1" t="s">
        <v>54</v>
      </c>
      <c r="E69" s="1" t="s">
        <v>28</v>
      </c>
      <c r="F69" s="1" t="s">
        <v>23</v>
      </c>
      <c r="G69" s="1" t="s">
        <v>24</v>
      </c>
      <c r="H69" s="1" t="s">
        <v>18</v>
      </c>
      <c r="I69" s="1">
        <v>739.46</v>
      </c>
      <c r="J69" s="1">
        <v>1.3</v>
      </c>
      <c r="K69" s="1">
        <v>2.8</v>
      </c>
      <c r="L69" s="1" t="s">
        <v>35</v>
      </c>
    </row>
    <row r="70" spans="1:12" x14ac:dyDescent="0.3">
      <c r="A70" s="1">
        <v>69</v>
      </c>
      <c r="B70" s="1" t="s">
        <v>38</v>
      </c>
      <c r="C70" s="1" t="s">
        <v>59</v>
      </c>
      <c r="D70" s="1" t="s">
        <v>43</v>
      </c>
      <c r="E70" s="1" t="s">
        <v>61</v>
      </c>
      <c r="F70" s="1" t="s">
        <v>41</v>
      </c>
      <c r="G70" s="1" t="s">
        <v>17</v>
      </c>
      <c r="H70" s="1" t="s">
        <v>25</v>
      </c>
      <c r="I70" s="1">
        <v>632.49</v>
      </c>
      <c r="J70" s="1">
        <v>8.3000000000000007</v>
      </c>
      <c r="K70" s="1">
        <v>3.9</v>
      </c>
      <c r="L70" s="1" t="s">
        <v>35</v>
      </c>
    </row>
    <row r="71" spans="1:12" x14ac:dyDescent="0.3">
      <c r="A71" s="1">
        <v>70</v>
      </c>
      <c r="B71" s="1" t="s">
        <v>36</v>
      </c>
      <c r="C71" s="1" t="s">
        <v>45</v>
      </c>
      <c r="D71" s="1" t="s">
        <v>43</v>
      </c>
      <c r="E71" s="1" t="s">
        <v>32</v>
      </c>
      <c r="F71" s="1" t="s">
        <v>33</v>
      </c>
      <c r="G71" s="1" t="s">
        <v>17</v>
      </c>
      <c r="H71" s="1" t="s">
        <v>25</v>
      </c>
      <c r="I71" s="1">
        <v>487.93</v>
      </c>
      <c r="J71" s="1">
        <v>9.8000000000000007</v>
      </c>
      <c r="K71" s="1">
        <v>3.5</v>
      </c>
      <c r="L71" s="1" t="s">
        <v>19</v>
      </c>
    </row>
    <row r="72" spans="1:12" x14ac:dyDescent="0.3">
      <c r="A72" s="1">
        <v>71</v>
      </c>
      <c r="B72" s="1" t="s">
        <v>36</v>
      </c>
      <c r="C72" s="1" t="s">
        <v>63</v>
      </c>
      <c r="D72" s="1" t="s">
        <v>43</v>
      </c>
      <c r="E72" s="1" t="s">
        <v>22</v>
      </c>
      <c r="F72" s="1" t="s">
        <v>41</v>
      </c>
      <c r="G72" s="1" t="s">
        <v>24</v>
      </c>
      <c r="H72" s="1" t="s">
        <v>34</v>
      </c>
      <c r="I72" s="1">
        <v>690.95</v>
      </c>
      <c r="J72" s="1">
        <v>7.3</v>
      </c>
      <c r="K72" s="1">
        <v>4</v>
      </c>
      <c r="L72" s="1" t="s">
        <v>19</v>
      </c>
    </row>
    <row r="73" spans="1:12" x14ac:dyDescent="0.3">
      <c r="A73" s="1">
        <v>72</v>
      </c>
      <c r="B73" s="1" t="s">
        <v>30</v>
      </c>
      <c r="C73" s="1" t="s">
        <v>53</v>
      </c>
      <c r="D73" s="1" t="s">
        <v>21</v>
      </c>
      <c r="E73" s="1" t="s">
        <v>22</v>
      </c>
      <c r="F73" s="1" t="s">
        <v>23</v>
      </c>
      <c r="G73" s="1" t="s">
        <v>17</v>
      </c>
      <c r="H73" s="1" t="s">
        <v>25</v>
      </c>
      <c r="I73" s="1">
        <v>536.20000000000005</v>
      </c>
      <c r="J73" s="1">
        <v>1.5</v>
      </c>
      <c r="K73" s="1">
        <v>3.4</v>
      </c>
      <c r="L73" s="1" t="s">
        <v>48</v>
      </c>
    </row>
    <row r="74" spans="1:12" x14ac:dyDescent="0.3">
      <c r="A74" s="1">
        <v>73</v>
      </c>
      <c r="B74" s="1" t="s">
        <v>58</v>
      </c>
      <c r="C74" s="1" t="s">
        <v>56</v>
      </c>
      <c r="D74" s="1" t="s">
        <v>46</v>
      </c>
      <c r="E74" s="1" t="s">
        <v>15</v>
      </c>
      <c r="F74" s="1" t="s">
        <v>23</v>
      </c>
      <c r="G74" s="1" t="s">
        <v>17</v>
      </c>
      <c r="H74" s="1" t="s">
        <v>18</v>
      </c>
      <c r="I74" s="1">
        <v>499.38</v>
      </c>
      <c r="J74" s="1">
        <v>3.4</v>
      </c>
      <c r="K74" s="1">
        <v>4.5999999999999996</v>
      </c>
      <c r="L74" s="1" t="s">
        <v>19</v>
      </c>
    </row>
    <row r="75" spans="1:12" x14ac:dyDescent="0.3">
      <c r="A75" s="1">
        <v>74</v>
      </c>
      <c r="B75" s="1" t="s">
        <v>12</v>
      </c>
      <c r="C75" s="1" t="s">
        <v>53</v>
      </c>
      <c r="D75" s="1" t="s">
        <v>50</v>
      </c>
      <c r="E75" s="1" t="s">
        <v>15</v>
      </c>
      <c r="F75" s="1" t="s">
        <v>16</v>
      </c>
      <c r="G75" s="1" t="s">
        <v>29</v>
      </c>
      <c r="H75" s="1" t="s">
        <v>18</v>
      </c>
      <c r="I75" s="1">
        <v>771.33</v>
      </c>
      <c r="J75" s="1">
        <v>5.4</v>
      </c>
      <c r="K75" s="1">
        <v>3.6</v>
      </c>
      <c r="L75" s="1" t="s">
        <v>51</v>
      </c>
    </row>
    <row r="76" spans="1:12" x14ac:dyDescent="0.3">
      <c r="A76" s="1">
        <v>75</v>
      </c>
      <c r="B76" s="1" t="s">
        <v>26</v>
      </c>
      <c r="C76" s="1" t="s">
        <v>49</v>
      </c>
      <c r="D76" s="1" t="s">
        <v>54</v>
      </c>
      <c r="E76" s="1" t="s">
        <v>44</v>
      </c>
      <c r="F76" s="1" t="s">
        <v>16</v>
      </c>
      <c r="G76" s="1" t="s">
        <v>17</v>
      </c>
      <c r="H76" s="1" t="s">
        <v>18</v>
      </c>
      <c r="I76" s="1">
        <v>575.38</v>
      </c>
      <c r="J76" s="1">
        <v>5</v>
      </c>
      <c r="K76" s="1">
        <v>4.4000000000000004</v>
      </c>
      <c r="L76" s="1" t="s">
        <v>19</v>
      </c>
    </row>
    <row r="77" spans="1:12" x14ac:dyDescent="0.3">
      <c r="A77" s="1">
        <v>76</v>
      </c>
      <c r="B77" s="1" t="s">
        <v>38</v>
      </c>
      <c r="C77" s="1" t="s">
        <v>49</v>
      </c>
      <c r="D77" s="1" t="s">
        <v>40</v>
      </c>
      <c r="E77" s="1" t="s">
        <v>32</v>
      </c>
      <c r="F77" s="1" t="s">
        <v>23</v>
      </c>
      <c r="G77" s="1" t="s">
        <v>17</v>
      </c>
      <c r="H77" s="1" t="s">
        <v>34</v>
      </c>
      <c r="I77" s="1">
        <v>629.22</v>
      </c>
      <c r="J77" s="1">
        <v>1.1000000000000001</v>
      </c>
      <c r="K77" s="1">
        <v>5</v>
      </c>
      <c r="L77" s="1" t="s">
        <v>35</v>
      </c>
    </row>
    <row r="78" spans="1:12" x14ac:dyDescent="0.3">
      <c r="A78" s="1">
        <v>77</v>
      </c>
      <c r="B78" s="1" t="s">
        <v>62</v>
      </c>
      <c r="C78" s="1" t="s">
        <v>63</v>
      </c>
      <c r="D78" s="1" t="s">
        <v>50</v>
      </c>
      <c r="E78" s="1" t="s">
        <v>32</v>
      </c>
      <c r="F78" s="1" t="s">
        <v>16</v>
      </c>
      <c r="G78" s="1" t="s">
        <v>24</v>
      </c>
      <c r="H78" s="1" t="s">
        <v>34</v>
      </c>
      <c r="I78" s="1">
        <v>81.77</v>
      </c>
      <c r="J78" s="1">
        <v>7.3</v>
      </c>
      <c r="K78" s="1">
        <v>3.7</v>
      </c>
      <c r="L78" s="1" t="s">
        <v>51</v>
      </c>
    </row>
    <row r="79" spans="1:12" x14ac:dyDescent="0.3">
      <c r="A79" s="1">
        <v>78</v>
      </c>
      <c r="B79" s="1" t="s">
        <v>30</v>
      </c>
      <c r="C79" s="1" t="s">
        <v>27</v>
      </c>
      <c r="D79" s="1" t="s">
        <v>40</v>
      </c>
      <c r="E79" s="1" t="s">
        <v>22</v>
      </c>
      <c r="F79" s="1" t="s">
        <v>16</v>
      </c>
      <c r="G79" s="1" t="s">
        <v>29</v>
      </c>
      <c r="H79" s="1" t="s">
        <v>34</v>
      </c>
      <c r="I79" s="1">
        <v>351.42</v>
      </c>
      <c r="J79" s="1">
        <v>9.9</v>
      </c>
      <c r="K79" s="1">
        <v>3.6</v>
      </c>
      <c r="L79" s="1" t="s">
        <v>35</v>
      </c>
    </row>
    <row r="80" spans="1:12" x14ac:dyDescent="0.3">
      <c r="A80" s="1">
        <v>79</v>
      </c>
      <c r="B80" s="1" t="s">
        <v>26</v>
      </c>
      <c r="C80" s="1" t="s">
        <v>13</v>
      </c>
      <c r="D80" s="1" t="s">
        <v>57</v>
      </c>
      <c r="E80" s="1" t="s">
        <v>44</v>
      </c>
      <c r="F80" s="1" t="s">
        <v>47</v>
      </c>
      <c r="G80" s="1" t="s">
        <v>29</v>
      </c>
      <c r="H80" s="1" t="s">
        <v>34</v>
      </c>
      <c r="I80" s="1">
        <v>331.34</v>
      </c>
      <c r="J80" s="1">
        <v>9.1</v>
      </c>
      <c r="K80" s="1">
        <v>4.0999999999999996</v>
      </c>
      <c r="L80" s="1" t="s">
        <v>19</v>
      </c>
    </row>
    <row r="81" spans="1:12" x14ac:dyDescent="0.3">
      <c r="A81" s="1">
        <v>80</v>
      </c>
      <c r="B81" s="1" t="s">
        <v>26</v>
      </c>
      <c r="C81" s="1" t="s">
        <v>13</v>
      </c>
      <c r="D81" s="1" t="s">
        <v>57</v>
      </c>
      <c r="E81" s="1" t="s">
        <v>44</v>
      </c>
      <c r="F81" s="1" t="s">
        <v>47</v>
      </c>
      <c r="G81" s="1" t="s">
        <v>17</v>
      </c>
      <c r="H81" s="1" t="s">
        <v>25</v>
      </c>
      <c r="I81" s="1">
        <v>407.91</v>
      </c>
      <c r="J81" s="1">
        <v>1.3</v>
      </c>
      <c r="K81" s="1">
        <v>3.3</v>
      </c>
      <c r="L81" s="1" t="s">
        <v>19</v>
      </c>
    </row>
    <row r="82" spans="1:12" x14ac:dyDescent="0.3">
      <c r="A82" s="1">
        <v>81</v>
      </c>
      <c r="B82" s="1" t="s">
        <v>36</v>
      </c>
      <c r="C82" s="1" t="s">
        <v>13</v>
      </c>
      <c r="D82" s="1" t="s">
        <v>54</v>
      </c>
      <c r="E82" s="1" t="s">
        <v>15</v>
      </c>
      <c r="F82" s="1" t="s">
        <v>23</v>
      </c>
      <c r="G82" s="1" t="s">
        <v>24</v>
      </c>
      <c r="H82" s="1" t="s">
        <v>34</v>
      </c>
      <c r="I82" s="1">
        <v>30.07</v>
      </c>
      <c r="J82" s="1">
        <v>4.9000000000000004</v>
      </c>
      <c r="K82" s="1">
        <v>2.7</v>
      </c>
      <c r="L82" s="1" t="s">
        <v>35</v>
      </c>
    </row>
    <row r="83" spans="1:12" x14ac:dyDescent="0.3">
      <c r="A83" s="1">
        <v>82</v>
      </c>
      <c r="B83" s="1" t="s">
        <v>60</v>
      </c>
      <c r="C83" s="1" t="s">
        <v>53</v>
      </c>
      <c r="D83" s="1" t="s">
        <v>21</v>
      </c>
      <c r="E83" s="1" t="s">
        <v>32</v>
      </c>
      <c r="F83" s="1" t="s">
        <v>16</v>
      </c>
      <c r="G83" s="1" t="s">
        <v>29</v>
      </c>
      <c r="H83" s="1" t="s">
        <v>25</v>
      </c>
      <c r="I83" s="1">
        <v>210.74</v>
      </c>
      <c r="J83" s="1">
        <v>9.6</v>
      </c>
      <c r="K83" s="1">
        <v>3.8</v>
      </c>
      <c r="L83" s="1" t="s">
        <v>48</v>
      </c>
    </row>
    <row r="84" spans="1:12" x14ac:dyDescent="0.3">
      <c r="A84" s="1">
        <v>83</v>
      </c>
      <c r="B84" s="1" t="s">
        <v>38</v>
      </c>
      <c r="C84" s="1" t="s">
        <v>45</v>
      </c>
      <c r="D84" s="1" t="s">
        <v>50</v>
      </c>
      <c r="E84" s="1" t="s">
        <v>61</v>
      </c>
      <c r="F84" s="1" t="s">
        <v>16</v>
      </c>
      <c r="G84" s="1" t="s">
        <v>17</v>
      </c>
      <c r="H84" s="1" t="s">
        <v>18</v>
      </c>
      <c r="I84" s="1">
        <v>198.07</v>
      </c>
      <c r="J84" s="1">
        <v>4.3</v>
      </c>
      <c r="K84" s="1">
        <v>4.0999999999999996</v>
      </c>
      <c r="L84" s="1" t="s">
        <v>19</v>
      </c>
    </row>
    <row r="85" spans="1:12" x14ac:dyDescent="0.3">
      <c r="A85" s="1">
        <v>84</v>
      </c>
      <c r="B85" s="1" t="s">
        <v>62</v>
      </c>
      <c r="C85" s="1" t="s">
        <v>53</v>
      </c>
      <c r="D85" s="1" t="s">
        <v>21</v>
      </c>
      <c r="E85" s="1" t="s">
        <v>44</v>
      </c>
      <c r="F85" s="1" t="s">
        <v>16</v>
      </c>
      <c r="G85" s="1" t="s">
        <v>29</v>
      </c>
      <c r="H85" s="1" t="s">
        <v>34</v>
      </c>
      <c r="I85" s="1">
        <v>435.24</v>
      </c>
      <c r="J85" s="1">
        <v>7.7</v>
      </c>
      <c r="K85" s="1">
        <v>3.5</v>
      </c>
      <c r="L85" s="1" t="s">
        <v>35</v>
      </c>
    </row>
    <row r="86" spans="1:12" x14ac:dyDescent="0.3">
      <c r="A86" s="1">
        <v>85</v>
      </c>
      <c r="B86" s="1" t="s">
        <v>58</v>
      </c>
      <c r="C86" s="1" t="s">
        <v>45</v>
      </c>
      <c r="D86" s="1" t="s">
        <v>50</v>
      </c>
      <c r="E86" s="1" t="s">
        <v>28</v>
      </c>
      <c r="F86" s="1" t="s">
        <v>23</v>
      </c>
      <c r="G86" s="1" t="s">
        <v>29</v>
      </c>
      <c r="H86" s="1" t="s">
        <v>25</v>
      </c>
      <c r="I86" s="1">
        <v>752</v>
      </c>
      <c r="J86" s="1">
        <v>3.8</v>
      </c>
      <c r="K86" s="1">
        <v>5</v>
      </c>
      <c r="L86" s="1" t="s">
        <v>19</v>
      </c>
    </row>
    <row r="87" spans="1:12" x14ac:dyDescent="0.3">
      <c r="A87" s="1">
        <v>86</v>
      </c>
      <c r="B87" s="1" t="s">
        <v>36</v>
      </c>
      <c r="C87" s="1" t="s">
        <v>42</v>
      </c>
      <c r="D87" s="1" t="s">
        <v>57</v>
      </c>
      <c r="E87" s="1" t="s">
        <v>61</v>
      </c>
      <c r="F87" s="1" t="s">
        <v>33</v>
      </c>
      <c r="G87" s="1" t="s">
        <v>29</v>
      </c>
      <c r="H87" s="1" t="s">
        <v>34</v>
      </c>
      <c r="I87" s="1">
        <v>559.9</v>
      </c>
      <c r="J87" s="1">
        <v>9.5</v>
      </c>
      <c r="K87" s="1">
        <v>4.9000000000000004</v>
      </c>
      <c r="L87" s="1" t="s">
        <v>19</v>
      </c>
    </row>
    <row r="88" spans="1:12" x14ac:dyDescent="0.3">
      <c r="A88" s="1">
        <v>87</v>
      </c>
      <c r="B88" s="1" t="s">
        <v>26</v>
      </c>
      <c r="C88" s="1" t="s">
        <v>42</v>
      </c>
      <c r="D88" s="1" t="s">
        <v>39</v>
      </c>
      <c r="E88" s="1" t="s">
        <v>28</v>
      </c>
      <c r="F88" s="1" t="s">
        <v>41</v>
      </c>
      <c r="G88" s="1" t="s">
        <v>17</v>
      </c>
      <c r="H88" s="1" t="s">
        <v>34</v>
      </c>
      <c r="I88" s="1">
        <v>65.260000000000005</v>
      </c>
      <c r="J88" s="1">
        <v>6.7</v>
      </c>
      <c r="K88" s="1">
        <v>3.3</v>
      </c>
      <c r="L88" s="1" t="s">
        <v>35</v>
      </c>
    </row>
    <row r="89" spans="1:12" x14ac:dyDescent="0.3">
      <c r="A89" s="1">
        <v>88</v>
      </c>
      <c r="B89" s="1" t="s">
        <v>30</v>
      </c>
      <c r="C89" s="1" t="s">
        <v>37</v>
      </c>
      <c r="D89" s="1" t="s">
        <v>57</v>
      </c>
      <c r="E89" s="1" t="s">
        <v>44</v>
      </c>
      <c r="F89" s="1" t="s">
        <v>41</v>
      </c>
      <c r="G89" s="1" t="s">
        <v>29</v>
      </c>
      <c r="H89" s="1" t="s">
        <v>25</v>
      </c>
      <c r="I89" s="1">
        <v>125.25</v>
      </c>
      <c r="J89" s="1">
        <v>4</v>
      </c>
      <c r="K89" s="1">
        <v>4.4000000000000004</v>
      </c>
      <c r="L89" s="1" t="s">
        <v>51</v>
      </c>
    </row>
    <row r="90" spans="1:12" x14ac:dyDescent="0.3">
      <c r="A90" s="1">
        <v>89</v>
      </c>
      <c r="B90" s="1" t="s">
        <v>52</v>
      </c>
      <c r="C90" s="1" t="s">
        <v>49</v>
      </c>
      <c r="D90" s="1" t="s">
        <v>14</v>
      </c>
      <c r="E90" s="1" t="s">
        <v>15</v>
      </c>
      <c r="F90" s="1" t="s">
        <v>47</v>
      </c>
      <c r="G90" s="1" t="s">
        <v>17</v>
      </c>
      <c r="H90" s="1" t="s">
        <v>34</v>
      </c>
      <c r="I90" s="1">
        <v>72.010000000000005</v>
      </c>
      <c r="J90" s="1">
        <v>6.8</v>
      </c>
      <c r="K90" s="1">
        <v>3.7</v>
      </c>
      <c r="L90" s="1" t="s">
        <v>19</v>
      </c>
    </row>
    <row r="91" spans="1:12" x14ac:dyDescent="0.3">
      <c r="A91" s="1">
        <v>90</v>
      </c>
      <c r="B91" s="1" t="s">
        <v>20</v>
      </c>
      <c r="C91" s="1" t="s">
        <v>42</v>
      </c>
      <c r="D91" s="1" t="s">
        <v>39</v>
      </c>
      <c r="E91" s="1" t="s">
        <v>15</v>
      </c>
      <c r="F91" s="1" t="s">
        <v>23</v>
      </c>
      <c r="G91" s="1" t="s">
        <v>17</v>
      </c>
      <c r="H91" s="1" t="s">
        <v>18</v>
      </c>
      <c r="I91" s="1">
        <v>632.52</v>
      </c>
      <c r="J91" s="1">
        <v>9</v>
      </c>
      <c r="K91" s="1">
        <v>4.8</v>
      </c>
      <c r="L91" s="1" t="s">
        <v>51</v>
      </c>
    </row>
    <row r="92" spans="1:12" x14ac:dyDescent="0.3">
      <c r="A92" s="1">
        <v>91</v>
      </c>
      <c r="B92" s="1" t="s">
        <v>36</v>
      </c>
      <c r="C92" s="1" t="s">
        <v>27</v>
      </c>
      <c r="D92" s="1" t="s">
        <v>54</v>
      </c>
      <c r="E92" s="1" t="s">
        <v>55</v>
      </c>
      <c r="F92" s="1" t="s">
        <v>33</v>
      </c>
      <c r="G92" s="1" t="s">
        <v>29</v>
      </c>
      <c r="H92" s="1" t="s">
        <v>25</v>
      </c>
      <c r="I92" s="1">
        <v>532.99</v>
      </c>
      <c r="J92" s="1">
        <v>9.4</v>
      </c>
      <c r="K92" s="1">
        <v>3.1</v>
      </c>
      <c r="L92" s="1" t="s">
        <v>51</v>
      </c>
    </row>
    <row r="93" spans="1:12" x14ac:dyDescent="0.3">
      <c r="A93" s="1">
        <v>92</v>
      </c>
      <c r="B93" s="1" t="s">
        <v>62</v>
      </c>
      <c r="C93" s="1" t="s">
        <v>59</v>
      </c>
      <c r="D93" s="1" t="s">
        <v>39</v>
      </c>
      <c r="E93" s="1" t="s">
        <v>28</v>
      </c>
      <c r="F93" s="1" t="s">
        <v>47</v>
      </c>
      <c r="G93" s="1" t="s">
        <v>17</v>
      </c>
      <c r="H93" s="1" t="s">
        <v>34</v>
      </c>
      <c r="I93" s="1">
        <v>705.85</v>
      </c>
      <c r="J93" s="1">
        <v>1.8</v>
      </c>
      <c r="K93" s="1">
        <v>3.7</v>
      </c>
      <c r="L93" s="1" t="s">
        <v>19</v>
      </c>
    </row>
    <row r="94" spans="1:12" x14ac:dyDescent="0.3">
      <c r="A94" s="1">
        <v>93</v>
      </c>
      <c r="B94" s="1" t="s">
        <v>38</v>
      </c>
      <c r="C94" s="1" t="s">
        <v>13</v>
      </c>
      <c r="D94" s="1" t="s">
        <v>14</v>
      </c>
      <c r="E94" s="1" t="s">
        <v>32</v>
      </c>
      <c r="F94" s="1" t="s">
        <v>47</v>
      </c>
      <c r="G94" s="1" t="s">
        <v>17</v>
      </c>
      <c r="H94" s="1" t="s">
        <v>25</v>
      </c>
      <c r="I94" s="1">
        <v>677.98</v>
      </c>
      <c r="J94" s="1">
        <v>1.4</v>
      </c>
      <c r="K94" s="1">
        <v>4.8</v>
      </c>
      <c r="L94" s="1" t="s">
        <v>48</v>
      </c>
    </row>
    <row r="95" spans="1:12" x14ac:dyDescent="0.3">
      <c r="A95" s="1">
        <v>94</v>
      </c>
      <c r="B95" s="1" t="s">
        <v>36</v>
      </c>
      <c r="C95" s="1" t="s">
        <v>45</v>
      </c>
      <c r="D95" s="1" t="s">
        <v>43</v>
      </c>
      <c r="E95" s="1" t="s">
        <v>28</v>
      </c>
      <c r="F95" s="1" t="s">
        <v>33</v>
      </c>
      <c r="G95" s="1" t="s">
        <v>24</v>
      </c>
      <c r="H95" s="1" t="s">
        <v>34</v>
      </c>
      <c r="I95" s="1">
        <v>321.89999999999998</v>
      </c>
      <c r="J95" s="1">
        <v>6.5</v>
      </c>
      <c r="K95" s="1">
        <v>4</v>
      </c>
      <c r="L95" s="1" t="s">
        <v>35</v>
      </c>
    </row>
    <row r="96" spans="1:12" x14ac:dyDescent="0.3">
      <c r="A96" s="1">
        <v>95</v>
      </c>
      <c r="B96" s="1" t="s">
        <v>20</v>
      </c>
      <c r="C96" s="1" t="s">
        <v>59</v>
      </c>
      <c r="D96" s="1" t="s">
        <v>43</v>
      </c>
      <c r="E96" s="1" t="s">
        <v>32</v>
      </c>
      <c r="F96" s="1" t="s">
        <v>33</v>
      </c>
      <c r="G96" s="1" t="s">
        <v>24</v>
      </c>
      <c r="H96" s="1" t="s">
        <v>18</v>
      </c>
      <c r="I96" s="1">
        <v>513.28</v>
      </c>
      <c r="J96" s="1">
        <v>2.7</v>
      </c>
      <c r="K96" s="1">
        <v>3.1</v>
      </c>
      <c r="L96" s="1" t="s">
        <v>51</v>
      </c>
    </row>
    <row r="97" spans="1:12" x14ac:dyDescent="0.3">
      <c r="A97" s="1">
        <v>96</v>
      </c>
      <c r="B97" s="1" t="s">
        <v>38</v>
      </c>
      <c r="C97" s="1" t="s">
        <v>45</v>
      </c>
      <c r="D97" s="1" t="s">
        <v>43</v>
      </c>
      <c r="E97" s="1" t="s">
        <v>44</v>
      </c>
      <c r="F97" s="1" t="s">
        <v>47</v>
      </c>
      <c r="G97" s="1" t="s">
        <v>17</v>
      </c>
      <c r="H97" s="1" t="s">
        <v>18</v>
      </c>
      <c r="I97" s="1">
        <v>738.25</v>
      </c>
      <c r="J97" s="1">
        <v>3.3</v>
      </c>
      <c r="K97" s="1">
        <v>3.5</v>
      </c>
      <c r="L97" s="1" t="s">
        <v>19</v>
      </c>
    </row>
    <row r="98" spans="1:12" x14ac:dyDescent="0.3">
      <c r="A98" s="1">
        <v>97</v>
      </c>
      <c r="B98" s="1" t="s">
        <v>60</v>
      </c>
      <c r="C98" s="1" t="s">
        <v>42</v>
      </c>
      <c r="D98" s="1" t="s">
        <v>14</v>
      </c>
      <c r="E98" s="1" t="s">
        <v>61</v>
      </c>
      <c r="F98" s="1" t="s">
        <v>16</v>
      </c>
      <c r="G98" s="1" t="s">
        <v>17</v>
      </c>
      <c r="H98" s="1" t="s">
        <v>25</v>
      </c>
      <c r="I98" s="1">
        <v>241.85</v>
      </c>
      <c r="J98" s="1">
        <v>6.1</v>
      </c>
      <c r="K98" s="1">
        <v>3</v>
      </c>
      <c r="L98" s="1" t="s">
        <v>48</v>
      </c>
    </row>
    <row r="99" spans="1:12" x14ac:dyDescent="0.3">
      <c r="A99" s="1">
        <v>98</v>
      </c>
      <c r="B99" s="1" t="s">
        <v>62</v>
      </c>
      <c r="C99" s="1" t="s">
        <v>45</v>
      </c>
      <c r="D99" s="1" t="s">
        <v>14</v>
      </c>
      <c r="E99" s="1" t="s">
        <v>22</v>
      </c>
      <c r="F99" s="1" t="s">
        <v>16</v>
      </c>
      <c r="G99" s="1" t="s">
        <v>17</v>
      </c>
      <c r="H99" s="1" t="s">
        <v>34</v>
      </c>
      <c r="I99" s="1">
        <v>782.43</v>
      </c>
      <c r="J99" s="1">
        <v>8.3000000000000007</v>
      </c>
      <c r="K99" s="1">
        <v>2.8</v>
      </c>
      <c r="L99" s="1" t="s">
        <v>35</v>
      </c>
    </row>
    <row r="100" spans="1:12" x14ac:dyDescent="0.3">
      <c r="A100" s="1">
        <v>99</v>
      </c>
      <c r="B100" s="1" t="s">
        <v>52</v>
      </c>
      <c r="C100" s="1" t="s">
        <v>37</v>
      </c>
      <c r="D100" s="1" t="s">
        <v>54</v>
      </c>
      <c r="E100" s="1" t="s">
        <v>55</v>
      </c>
      <c r="F100" s="1" t="s">
        <v>33</v>
      </c>
      <c r="G100" s="1" t="s">
        <v>29</v>
      </c>
      <c r="H100" s="1" t="s">
        <v>34</v>
      </c>
      <c r="I100" s="1">
        <v>444.81</v>
      </c>
      <c r="J100" s="1">
        <v>7.7</v>
      </c>
      <c r="K100" s="1">
        <v>3.2</v>
      </c>
      <c r="L100" s="1" t="s">
        <v>51</v>
      </c>
    </row>
    <row r="101" spans="1:12" x14ac:dyDescent="0.3">
      <c r="A101" s="1">
        <v>100</v>
      </c>
      <c r="B101" s="1" t="s">
        <v>30</v>
      </c>
      <c r="C101" s="1" t="s">
        <v>37</v>
      </c>
      <c r="D101" s="1" t="s">
        <v>46</v>
      </c>
      <c r="E101" s="1" t="s">
        <v>61</v>
      </c>
      <c r="F101" s="1" t="s">
        <v>41</v>
      </c>
      <c r="G101" s="1" t="s">
        <v>17</v>
      </c>
      <c r="H101" s="1" t="s">
        <v>25</v>
      </c>
      <c r="I101" s="1">
        <v>69.14</v>
      </c>
      <c r="J101" s="1">
        <v>4.0999999999999996</v>
      </c>
      <c r="K101" s="1">
        <v>4.9000000000000004</v>
      </c>
      <c r="L101" s="1" t="s">
        <v>51</v>
      </c>
    </row>
    <row r="102" spans="1:12" x14ac:dyDescent="0.3">
      <c r="A102" s="1">
        <v>101</v>
      </c>
      <c r="B102" s="1" t="s">
        <v>36</v>
      </c>
      <c r="C102" s="1" t="s">
        <v>13</v>
      </c>
      <c r="D102" s="1" t="s">
        <v>14</v>
      </c>
      <c r="E102" s="1" t="s">
        <v>28</v>
      </c>
      <c r="F102" s="1" t="s">
        <v>16</v>
      </c>
      <c r="G102" s="1" t="s">
        <v>29</v>
      </c>
      <c r="H102" s="1" t="s">
        <v>25</v>
      </c>
      <c r="I102" s="1">
        <v>488.02</v>
      </c>
      <c r="J102" s="1">
        <v>9.8000000000000007</v>
      </c>
      <c r="K102" s="1">
        <v>2.6</v>
      </c>
      <c r="L102" s="1" t="s">
        <v>48</v>
      </c>
    </row>
    <row r="103" spans="1:12" x14ac:dyDescent="0.3">
      <c r="A103" s="1">
        <v>102</v>
      </c>
      <c r="B103" s="1" t="s">
        <v>52</v>
      </c>
      <c r="C103" s="1" t="s">
        <v>13</v>
      </c>
      <c r="D103" s="1" t="s">
        <v>57</v>
      </c>
      <c r="E103" s="1" t="s">
        <v>44</v>
      </c>
      <c r="F103" s="1" t="s">
        <v>47</v>
      </c>
      <c r="G103" s="1" t="s">
        <v>17</v>
      </c>
      <c r="H103" s="1" t="s">
        <v>34</v>
      </c>
      <c r="I103" s="1">
        <v>559.21</v>
      </c>
      <c r="J103" s="1">
        <v>6.2</v>
      </c>
      <c r="K103" s="1">
        <v>4.8</v>
      </c>
      <c r="L103" s="1" t="s">
        <v>19</v>
      </c>
    </row>
    <row r="104" spans="1:12" x14ac:dyDescent="0.3">
      <c r="A104" s="1">
        <v>103</v>
      </c>
      <c r="B104" s="1" t="s">
        <v>36</v>
      </c>
      <c r="C104" s="1" t="s">
        <v>53</v>
      </c>
      <c r="D104" s="1" t="s">
        <v>21</v>
      </c>
      <c r="E104" s="1" t="s">
        <v>44</v>
      </c>
      <c r="F104" s="1" t="s">
        <v>33</v>
      </c>
      <c r="G104" s="1" t="s">
        <v>17</v>
      </c>
      <c r="H104" s="1" t="s">
        <v>34</v>
      </c>
      <c r="I104" s="1">
        <v>554.73</v>
      </c>
      <c r="J104" s="1">
        <v>5.7</v>
      </c>
      <c r="K104" s="1">
        <v>4.7</v>
      </c>
      <c r="L104" s="1" t="s">
        <v>35</v>
      </c>
    </row>
    <row r="105" spans="1:12" x14ac:dyDescent="0.3">
      <c r="A105" s="1">
        <v>104</v>
      </c>
      <c r="B105" s="1" t="s">
        <v>36</v>
      </c>
      <c r="C105" s="1" t="s">
        <v>59</v>
      </c>
      <c r="D105" s="1" t="s">
        <v>31</v>
      </c>
      <c r="E105" s="1" t="s">
        <v>28</v>
      </c>
      <c r="F105" s="1" t="s">
        <v>47</v>
      </c>
      <c r="G105" s="1" t="s">
        <v>17</v>
      </c>
      <c r="H105" s="1" t="s">
        <v>34</v>
      </c>
      <c r="I105" s="1">
        <v>225.28</v>
      </c>
      <c r="J105" s="1">
        <v>2.2000000000000002</v>
      </c>
      <c r="K105" s="1">
        <v>3.7</v>
      </c>
      <c r="L105" s="1" t="s">
        <v>48</v>
      </c>
    </row>
    <row r="106" spans="1:12" x14ac:dyDescent="0.3">
      <c r="A106" s="1">
        <v>105</v>
      </c>
      <c r="B106" s="1" t="s">
        <v>12</v>
      </c>
      <c r="C106" s="1" t="s">
        <v>56</v>
      </c>
      <c r="D106" s="1" t="s">
        <v>54</v>
      </c>
      <c r="E106" s="1" t="s">
        <v>28</v>
      </c>
      <c r="F106" s="1" t="s">
        <v>47</v>
      </c>
      <c r="G106" s="1" t="s">
        <v>17</v>
      </c>
      <c r="H106" s="1" t="s">
        <v>34</v>
      </c>
      <c r="I106" s="1">
        <v>771.22</v>
      </c>
      <c r="J106" s="1">
        <v>9.1999999999999993</v>
      </c>
      <c r="K106" s="1">
        <v>4.3</v>
      </c>
      <c r="L106" s="1" t="s">
        <v>35</v>
      </c>
    </row>
    <row r="107" spans="1:12" x14ac:dyDescent="0.3">
      <c r="A107" s="1">
        <v>106</v>
      </c>
      <c r="B107" s="1" t="s">
        <v>52</v>
      </c>
      <c r="C107" s="1" t="s">
        <v>45</v>
      </c>
      <c r="D107" s="1" t="s">
        <v>57</v>
      </c>
      <c r="E107" s="1" t="s">
        <v>15</v>
      </c>
      <c r="F107" s="1" t="s">
        <v>16</v>
      </c>
      <c r="G107" s="1" t="s">
        <v>29</v>
      </c>
      <c r="H107" s="1" t="s">
        <v>25</v>
      </c>
      <c r="I107" s="1">
        <v>446.46</v>
      </c>
      <c r="J107" s="1">
        <v>10</v>
      </c>
      <c r="K107" s="1">
        <v>2.7</v>
      </c>
      <c r="L107" s="1" t="s">
        <v>35</v>
      </c>
    </row>
    <row r="108" spans="1:12" x14ac:dyDescent="0.3">
      <c r="A108" s="1">
        <v>107</v>
      </c>
      <c r="B108" s="1" t="s">
        <v>60</v>
      </c>
      <c r="C108" s="1" t="s">
        <v>37</v>
      </c>
      <c r="D108" s="1" t="s">
        <v>46</v>
      </c>
      <c r="E108" s="1" t="s">
        <v>22</v>
      </c>
      <c r="F108" s="1" t="s">
        <v>47</v>
      </c>
      <c r="G108" s="1" t="s">
        <v>24</v>
      </c>
      <c r="H108" s="1" t="s">
        <v>18</v>
      </c>
      <c r="I108" s="1">
        <v>542.66999999999996</v>
      </c>
      <c r="J108" s="1">
        <v>5.9</v>
      </c>
      <c r="K108" s="1">
        <v>2.6</v>
      </c>
      <c r="L108" s="1" t="s">
        <v>48</v>
      </c>
    </row>
    <row r="109" spans="1:12" x14ac:dyDescent="0.3">
      <c r="A109" s="1">
        <v>108</v>
      </c>
      <c r="B109" s="1" t="s">
        <v>62</v>
      </c>
      <c r="C109" s="1" t="s">
        <v>49</v>
      </c>
      <c r="D109" s="1" t="s">
        <v>43</v>
      </c>
      <c r="E109" s="1" t="s">
        <v>61</v>
      </c>
      <c r="F109" s="1" t="s">
        <v>23</v>
      </c>
      <c r="G109" s="1" t="s">
        <v>17</v>
      </c>
      <c r="H109" s="1" t="s">
        <v>18</v>
      </c>
      <c r="I109" s="1">
        <v>155.85</v>
      </c>
      <c r="J109" s="1">
        <v>9.4</v>
      </c>
      <c r="K109" s="1">
        <v>3</v>
      </c>
      <c r="L109" s="1" t="s">
        <v>35</v>
      </c>
    </row>
    <row r="110" spans="1:12" x14ac:dyDescent="0.3">
      <c r="A110" s="1">
        <v>109</v>
      </c>
      <c r="B110" s="1" t="s">
        <v>52</v>
      </c>
      <c r="C110" s="1" t="s">
        <v>56</v>
      </c>
      <c r="D110" s="1" t="s">
        <v>46</v>
      </c>
      <c r="E110" s="1" t="s">
        <v>22</v>
      </c>
      <c r="F110" s="1" t="s">
        <v>47</v>
      </c>
      <c r="G110" s="1" t="s">
        <v>24</v>
      </c>
      <c r="H110" s="1" t="s">
        <v>18</v>
      </c>
      <c r="I110" s="1">
        <v>779.42</v>
      </c>
      <c r="J110" s="1">
        <v>4.5</v>
      </c>
      <c r="K110" s="1">
        <v>4.8</v>
      </c>
      <c r="L110" s="1" t="s">
        <v>19</v>
      </c>
    </row>
    <row r="111" spans="1:12" x14ac:dyDescent="0.3">
      <c r="A111" s="1">
        <v>110</v>
      </c>
      <c r="B111" s="1" t="s">
        <v>38</v>
      </c>
      <c r="C111" s="1" t="s">
        <v>56</v>
      </c>
      <c r="D111" s="1" t="s">
        <v>40</v>
      </c>
      <c r="E111" s="1" t="s">
        <v>28</v>
      </c>
      <c r="F111" s="1" t="s">
        <v>33</v>
      </c>
      <c r="G111" s="1" t="s">
        <v>17</v>
      </c>
      <c r="H111" s="1" t="s">
        <v>34</v>
      </c>
      <c r="I111" s="1">
        <v>196.88</v>
      </c>
      <c r="J111" s="1">
        <v>3.1</v>
      </c>
      <c r="K111" s="1">
        <v>3.6</v>
      </c>
      <c r="L111" s="1" t="s">
        <v>48</v>
      </c>
    </row>
    <row r="112" spans="1:12" x14ac:dyDescent="0.3">
      <c r="A112" s="1">
        <v>111</v>
      </c>
      <c r="B112" s="1" t="s">
        <v>30</v>
      </c>
      <c r="C112" s="1" t="s">
        <v>63</v>
      </c>
      <c r="D112" s="1" t="s">
        <v>14</v>
      </c>
      <c r="E112" s="1" t="s">
        <v>44</v>
      </c>
      <c r="F112" s="1" t="s">
        <v>23</v>
      </c>
      <c r="G112" s="1" t="s">
        <v>29</v>
      </c>
      <c r="H112" s="1" t="s">
        <v>18</v>
      </c>
      <c r="I112" s="1">
        <v>574.38</v>
      </c>
      <c r="J112" s="1">
        <v>5.4</v>
      </c>
      <c r="K112" s="1">
        <v>2.7</v>
      </c>
      <c r="L112" s="1" t="s">
        <v>51</v>
      </c>
    </row>
    <row r="113" spans="1:12" x14ac:dyDescent="0.3">
      <c r="A113" s="1">
        <v>112</v>
      </c>
      <c r="B113" s="1" t="s">
        <v>58</v>
      </c>
      <c r="C113" s="1" t="s">
        <v>45</v>
      </c>
      <c r="D113" s="1" t="s">
        <v>46</v>
      </c>
      <c r="E113" s="1" t="s">
        <v>28</v>
      </c>
      <c r="F113" s="1" t="s">
        <v>16</v>
      </c>
      <c r="G113" s="1" t="s">
        <v>17</v>
      </c>
      <c r="H113" s="1" t="s">
        <v>18</v>
      </c>
      <c r="I113" s="1">
        <v>127.55</v>
      </c>
      <c r="J113" s="1">
        <v>4.5</v>
      </c>
      <c r="K113" s="1">
        <v>4.4000000000000004</v>
      </c>
      <c r="L113" s="1" t="s">
        <v>35</v>
      </c>
    </row>
    <row r="114" spans="1:12" x14ac:dyDescent="0.3">
      <c r="A114" s="1">
        <v>113</v>
      </c>
      <c r="B114" s="1" t="s">
        <v>20</v>
      </c>
      <c r="C114" s="1" t="s">
        <v>45</v>
      </c>
      <c r="D114" s="1" t="s">
        <v>54</v>
      </c>
      <c r="E114" s="1" t="s">
        <v>44</v>
      </c>
      <c r="F114" s="1" t="s">
        <v>47</v>
      </c>
      <c r="G114" s="1" t="s">
        <v>24</v>
      </c>
      <c r="H114" s="1" t="s">
        <v>18</v>
      </c>
      <c r="I114" s="1">
        <v>440.14</v>
      </c>
      <c r="J114" s="1">
        <v>7.4</v>
      </c>
      <c r="K114" s="1">
        <v>4.5999999999999996</v>
      </c>
      <c r="L114" s="1" t="s">
        <v>35</v>
      </c>
    </row>
    <row r="115" spans="1:12" x14ac:dyDescent="0.3">
      <c r="A115" s="1">
        <v>114</v>
      </c>
      <c r="B115" s="1" t="s">
        <v>30</v>
      </c>
      <c r="C115" s="1" t="s">
        <v>27</v>
      </c>
      <c r="D115" s="1" t="s">
        <v>40</v>
      </c>
      <c r="E115" s="1" t="s">
        <v>28</v>
      </c>
      <c r="F115" s="1" t="s">
        <v>33</v>
      </c>
      <c r="G115" s="1" t="s">
        <v>24</v>
      </c>
      <c r="H115" s="1" t="s">
        <v>34</v>
      </c>
      <c r="I115" s="1">
        <v>445.18</v>
      </c>
      <c r="J115" s="1">
        <v>7.8</v>
      </c>
      <c r="K115" s="1">
        <v>4</v>
      </c>
      <c r="L115" s="1" t="s">
        <v>35</v>
      </c>
    </row>
    <row r="116" spans="1:12" x14ac:dyDescent="0.3">
      <c r="A116" s="1">
        <v>115</v>
      </c>
      <c r="B116" s="1" t="s">
        <v>58</v>
      </c>
      <c r="C116" s="1" t="s">
        <v>13</v>
      </c>
      <c r="D116" s="1" t="s">
        <v>54</v>
      </c>
      <c r="E116" s="1" t="s">
        <v>15</v>
      </c>
      <c r="F116" s="1" t="s">
        <v>47</v>
      </c>
      <c r="G116" s="1" t="s">
        <v>17</v>
      </c>
      <c r="H116" s="1" t="s">
        <v>18</v>
      </c>
      <c r="I116" s="1">
        <v>398.21</v>
      </c>
      <c r="J116" s="1">
        <v>3.3</v>
      </c>
      <c r="K116" s="1">
        <v>4.9000000000000004</v>
      </c>
      <c r="L116" s="1" t="s">
        <v>19</v>
      </c>
    </row>
    <row r="117" spans="1:12" x14ac:dyDescent="0.3">
      <c r="A117" s="1">
        <v>116</v>
      </c>
      <c r="B117" s="1" t="s">
        <v>26</v>
      </c>
      <c r="C117" s="1" t="s">
        <v>49</v>
      </c>
      <c r="D117" s="1" t="s">
        <v>14</v>
      </c>
      <c r="E117" s="1" t="s">
        <v>28</v>
      </c>
      <c r="F117" s="1" t="s">
        <v>33</v>
      </c>
      <c r="G117" s="1" t="s">
        <v>24</v>
      </c>
      <c r="H117" s="1" t="s">
        <v>25</v>
      </c>
      <c r="I117" s="1">
        <v>379.09</v>
      </c>
      <c r="J117" s="1">
        <v>3.4</v>
      </c>
      <c r="K117" s="1">
        <v>4.4000000000000004</v>
      </c>
      <c r="L117" s="1" t="s">
        <v>19</v>
      </c>
    </row>
    <row r="118" spans="1:12" x14ac:dyDescent="0.3">
      <c r="A118" s="1">
        <v>117</v>
      </c>
      <c r="B118" s="1" t="s">
        <v>12</v>
      </c>
      <c r="C118" s="1" t="s">
        <v>37</v>
      </c>
      <c r="D118" s="1" t="s">
        <v>54</v>
      </c>
      <c r="E118" s="1" t="s">
        <v>28</v>
      </c>
      <c r="F118" s="1" t="s">
        <v>33</v>
      </c>
      <c r="G118" s="1" t="s">
        <v>24</v>
      </c>
      <c r="H118" s="1" t="s">
        <v>18</v>
      </c>
      <c r="I118" s="1">
        <v>511</v>
      </c>
      <c r="J118" s="1">
        <v>5.5</v>
      </c>
      <c r="K118" s="1">
        <v>3.7</v>
      </c>
      <c r="L118" s="1" t="s">
        <v>35</v>
      </c>
    </row>
    <row r="119" spans="1:12" x14ac:dyDescent="0.3">
      <c r="A119" s="1">
        <v>118</v>
      </c>
      <c r="B119" s="1" t="s">
        <v>38</v>
      </c>
      <c r="C119" s="1" t="s">
        <v>56</v>
      </c>
      <c r="D119" s="1" t="s">
        <v>21</v>
      </c>
      <c r="E119" s="1" t="s">
        <v>61</v>
      </c>
      <c r="F119" s="1" t="s">
        <v>33</v>
      </c>
      <c r="G119" s="1" t="s">
        <v>17</v>
      </c>
      <c r="H119" s="1" t="s">
        <v>18</v>
      </c>
      <c r="I119" s="1">
        <v>604.55999999999995</v>
      </c>
      <c r="J119" s="1">
        <v>4.5999999999999996</v>
      </c>
      <c r="K119" s="1">
        <v>3.9</v>
      </c>
      <c r="L119" s="1" t="s">
        <v>19</v>
      </c>
    </row>
    <row r="120" spans="1:12" x14ac:dyDescent="0.3">
      <c r="A120" s="1">
        <v>119</v>
      </c>
      <c r="B120" s="1" t="s">
        <v>12</v>
      </c>
      <c r="C120" s="1" t="s">
        <v>45</v>
      </c>
      <c r="D120" s="1" t="s">
        <v>50</v>
      </c>
      <c r="E120" s="1" t="s">
        <v>44</v>
      </c>
      <c r="F120" s="1" t="s">
        <v>41</v>
      </c>
      <c r="G120" s="1" t="s">
        <v>24</v>
      </c>
      <c r="H120" s="1" t="s">
        <v>34</v>
      </c>
      <c r="I120" s="1">
        <v>508.61</v>
      </c>
      <c r="J120" s="1">
        <v>9</v>
      </c>
      <c r="K120" s="1">
        <v>4.3</v>
      </c>
      <c r="L120" s="1" t="s">
        <v>51</v>
      </c>
    </row>
    <row r="121" spans="1:12" x14ac:dyDescent="0.3">
      <c r="A121" s="1">
        <v>120</v>
      </c>
      <c r="B121" s="1" t="s">
        <v>62</v>
      </c>
      <c r="C121" s="1" t="s">
        <v>42</v>
      </c>
      <c r="D121" s="1" t="s">
        <v>57</v>
      </c>
      <c r="E121" s="1" t="s">
        <v>28</v>
      </c>
      <c r="F121" s="1" t="s">
        <v>47</v>
      </c>
      <c r="G121" s="1" t="s">
        <v>24</v>
      </c>
      <c r="H121" s="1" t="s">
        <v>25</v>
      </c>
      <c r="I121" s="1">
        <v>367.56</v>
      </c>
      <c r="J121" s="1">
        <v>8.9</v>
      </c>
      <c r="K121" s="1">
        <v>4.9000000000000004</v>
      </c>
      <c r="L121" s="1" t="s">
        <v>48</v>
      </c>
    </row>
    <row r="122" spans="1:12" x14ac:dyDescent="0.3">
      <c r="A122" s="1">
        <v>121</v>
      </c>
      <c r="B122" s="1" t="s">
        <v>30</v>
      </c>
      <c r="C122" s="1" t="s">
        <v>27</v>
      </c>
      <c r="D122" s="1" t="s">
        <v>46</v>
      </c>
      <c r="E122" s="1" t="s">
        <v>44</v>
      </c>
      <c r="F122" s="1" t="s">
        <v>16</v>
      </c>
      <c r="G122" s="1" t="s">
        <v>24</v>
      </c>
      <c r="H122" s="1" t="s">
        <v>18</v>
      </c>
      <c r="I122" s="1">
        <v>512.29</v>
      </c>
      <c r="J122" s="1">
        <v>6.3</v>
      </c>
      <c r="K122" s="1">
        <v>2.8</v>
      </c>
      <c r="L122" s="1" t="s">
        <v>48</v>
      </c>
    </row>
    <row r="123" spans="1:12" x14ac:dyDescent="0.3">
      <c r="A123" s="1">
        <v>122</v>
      </c>
      <c r="B123" s="1" t="s">
        <v>36</v>
      </c>
      <c r="C123" s="1" t="s">
        <v>63</v>
      </c>
      <c r="D123" s="1" t="s">
        <v>39</v>
      </c>
      <c r="E123" s="1" t="s">
        <v>22</v>
      </c>
      <c r="F123" s="1" t="s">
        <v>33</v>
      </c>
      <c r="G123" s="1" t="s">
        <v>29</v>
      </c>
      <c r="H123" s="1" t="s">
        <v>18</v>
      </c>
      <c r="I123" s="1">
        <v>522.28</v>
      </c>
      <c r="J123" s="1">
        <v>8.5</v>
      </c>
      <c r="K123" s="1">
        <v>4.2</v>
      </c>
      <c r="L123" s="1" t="s">
        <v>35</v>
      </c>
    </row>
    <row r="124" spans="1:12" x14ac:dyDescent="0.3">
      <c r="A124" s="1">
        <v>123</v>
      </c>
      <c r="B124" s="1" t="s">
        <v>36</v>
      </c>
      <c r="C124" s="1" t="s">
        <v>45</v>
      </c>
      <c r="D124" s="1" t="s">
        <v>50</v>
      </c>
      <c r="E124" s="1" t="s">
        <v>28</v>
      </c>
      <c r="F124" s="1" t="s">
        <v>47</v>
      </c>
      <c r="G124" s="1" t="s">
        <v>29</v>
      </c>
      <c r="H124" s="1" t="s">
        <v>18</v>
      </c>
      <c r="I124" s="1">
        <v>400.19</v>
      </c>
      <c r="J124" s="1">
        <v>6.6</v>
      </c>
      <c r="K124" s="1">
        <v>2.7</v>
      </c>
      <c r="L124" s="1" t="s">
        <v>51</v>
      </c>
    </row>
    <row r="125" spans="1:12" x14ac:dyDescent="0.3">
      <c r="A125" s="1">
        <v>124</v>
      </c>
      <c r="B125" s="1" t="s">
        <v>58</v>
      </c>
      <c r="C125" s="1" t="s">
        <v>37</v>
      </c>
      <c r="D125" s="1" t="s">
        <v>39</v>
      </c>
      <c r="E125" s="1" t="s">
        <v>44</v>
      </c>
      <c r="F125" s="1" t="s">
        <v>33</v>
      </c>
      <c r="G125" s="1" t="s">
        <v>29</v>
      </c>
      <c r="H125" s="1" t="s">
        <v>34</v>
      </c>
      <c r="I125" s="1">
        <v>223.88</v>
      </c>
      <c r="J125" s="1">
        <v>4.5999999999999996</v>
      </c>
      <c r="K125" s="1">
        <v>3</v>
      </c>
      <c r="L125" s="1" t="s">
        <v>51</v>
      </c>
    </row>
    <row r="126" spans="1:12" x14ac:dyDescent="0.3">
      <c r="A126" s="1">
        <v>125</v>
      </c>
      <c r="B126" s="1" t="s">
        <v>30</v>
      </c>
      <c r="C126" s="1" t="s">
        <v>13</v>
      </c>
      <c r="D126" s="1" t="s">
        <v>14</v>
      </c>
      <c r="E126" s="1" t="s">
        <v>22</v>
      </c>
      <c r="F126" s="1" t="s">
        <v>16</v>
      </c>
      <c r="G126" s="1" t="s">
        <v>17</v>
      </c>
      <c r="H126" s="1" t="s">
        <v>34</v>
      </c>
      <c r="I126" s="1">
        <v>281.5</v>
      </c>
      <c r="J126" s="1">
        <v>6</v>
      </c>
      <c r="K126" s="1">
        <v>4.2</v>
      </c>
      <c r="L126" s="1" t="s">
        <v>48</v>
      </c>
    </row>
    <row r="127" spans="1:12" x14ac:dyDescent="0.3">
      <c r="A127" s="1">
        <v>126</v>
      </c>
      <c r="B127" s="1" t="s">
        <v>62</v>
      </c>
      <c r="C127" s="1" t="s">
        <v>42</v>
      </c>
      <c r="D127" s="1" t="s">
        <v>39</v>
      </c>
      <c r="E127" s="1" t="s">
        <v>15</v>
      </c>
      <c r="F127" s="1" t="s">
        <v>47</v>
      </c>
      <c r="G127" s="1" t="s">
        <v>24</v>
      </c>
      <c r="H127" s="1" t="s">
        <v>34</v>
      </c>
      <c r="I127" s="1">
        <v>188.42</v>
      </c>
      <c r="J127" s="1">
        <v>5.4</v>
      </c>
      <c r="K127" s="1">
        <v>4.4000000000000004</v>
      </c>
      <c r="L127" s="1" t="s">
        <v>48</v>
      </c>
    </row>
    <row r="128" spans="1:12" x14ac:dyDescent="0.3">
      <c r="A128" s="1">
        <v>127</v>
      </c>
      <c r="B128" s="1" t="s">
        <v>12</v>
      </c>
      <c r="C128" s="1" t="s">
        <v>13</v>
      </c>
      <c r="D128" s="1" t="s">
        <v>54</v>
      </c>
      <c r="E128" s="1" t="s">
        <v>22</v>
      </c>
      <c r="F128" s="1" t="s">
        <v>23</v>
      </c>
      <c r="G128" s="1" t="s">
        <v>29</v>
      </c>
      <c r="H128" s="1" t="s">
        <v>34</v>
      </c>
      <c r="I128" s="1">
        <v>542.58000000000004</v>
      </c>
      <c r="J128" s="1">
        <v>9.4</v>
      </c>
      <c r="K128" s="1">
        <v>3.7</v>
      </c>
      <c r="L128" s="1" t="s">
        <v>19</v>
      </c>
    </row>
    <row r="129" spans="1:12" x14ac:dyDescent="0.3">
      <c r="A129" s="1">
        <v>128</v>
      </c>
      <c r="B129" s="1" t="s">
        <v>30</v>
      </c>
      <c r="C129" s="1" t="s">
        <v>37</v>
      </c>
      <c r="D129" s="1" t="s">
        <v>39</v>
      </c>
      <c r="E129" s="1" t="s">
        <v>22</v>
      </c>
      <c r="F129" s="1" t="s">
        <v>47</v>
      </c>
      <c r="G129" s="1" t="s">
        <v>17</v>
      </c>
      <c r="H129" s="1" t="s">
        <v>25</v>
      </c>
      <c r="I129" s="1">
        <v>458.83</v>
      </c>
      <c r="J129" s="1">
        <v>1.4</v>
      </c>
      <c r="K129" s="1">
        <v>4.2</v>
      </c>
      <c r="L129" s="1" t="s">
        <v>35</v>
      </c>
    </row>
    <row r="130" spans="1:12" x14ac:dyDescent="0.3">
      <c r="A130" s="1">
        <v>129</v>
      </c>
      <c r="B130" s="1" t="s">
        <v>26</v>
      </c>
      <c r="C130" s="1" t="s">
        <v>59</v>
      </c>
      <c r="D130" s="1" t="s">
        <v>54</v>
      </c>
      <c r="E130" s="1" t="s">
        <v>32</v>
      </c>
      <c r="F130" s="1" t="s">
        <v>41</v>
      </c>
      <c r="G130" s="1" t="s">
        <v>17</v>
      </c>
      <c r="H130" s="1" t="s">
        <v>18</v>
      </c>
      <c r="I130" s="1">
        <v>463.22</v>
      </c>
      <c r="J130" s="1">
        <v>1.9</v>
      </c>
      <c r="K130" s="1">
        <v>3.9</v>
      </c>
      <c r="L130" s="1" t="s">
        <v>51</v>
      </c>
    </row>
    <row r="131" spans="1:12" x14ac:dyDescent="0.3">
      <c r="A131" s="1">
        <v>130</v>
      </c>
      <c r="B131" s="1" t="s">
        <v>36</v>
      </c>
      <c r="C131" s="1" t="s">
        <v>63</v>
      </c>
      <c r="D131" s="1" t="s">
        <v>46</v>
      </c>
      <c r="E131" s="1" t="s">
        <v>15</v>
      </c>
      <c r="F131" s="1" t="s">
        <v>47</v>
      </c>
      <c r="G131" s="1" t="s">
        <v>24</v>
      </c>
      <c r="H131" s="1" t="s">
        <v>18</v>
      </c>
      <c r="I131" s="1">
        <v>295.41000000000003</v>
      </c>
      <c r="J131" s="1">
        <v>7.6</v>
      </c>
      <c r="K131" s="1">
        <v>3.8</v>
      </c>
      <c r="L131" s="1" t="s">
        <v>48</v>
      </c>
    </row>
    <row r="132" spans="1:12" x14ac:dyDescent="0.3">
      <c r="A132" s="1">
        <v>131</v>
      </c>
      <c r="B132" s="1" t="s">
        <v>52</v>
      </c>
      <c r="C132" s="1" t="s">
        <v>27</v>
      </c>
      <c r="D132" s="1" t="s">
        <v>21</v>
      </c>
      <c r="E132" s="1" t="s">
        <v>44</v>
      </c>
      <c r="F132" s="1" t="s">
        <v>41</v>
      </c>
      <c r="G132" s="1" t="s">
        <v>29</v>
      </c>
      <c r="H132" s="1" t="s">
        <v>34</v>
      </c>
      <c r="I132" s="1">
        <v>377.9</v>
      </c>
      <c r="J132" s="1">
        <v>4.0999999999999996</v>
      </c>
      <c r="K132" s="1">
        <v>4.5999999999999996</v>
      </c>
      <c r="L132" s="1" t="s">
        <v>35</v>
      </c>
    </row>
    <row r="133" spans="1:12" x14ac:dyDescent="0.3">
      <c r="A133" s="1">
        <v>132</v>
      </c>
      <c r="B133" s="1" t="s">
        <v>38</v>
      </c>
      <c r="C133" s="1" t="s">
        <v>37</v>
      </c>
      <c r="D133" s="1" t="s">
        <v>31</v>
      </c>
      <c r="E133" s="1" t="s">
        <v>28</v>
      </c>
      <c r="F133" s="1" t="s">
        <v>23</v>
      </c>
      <c r="G133" s="1" t="s">
        <v>29</v>
      </c>
      <c r="H133" s="1" t="s">
        <v>25</v>
      </c>
      <c r="I133" s="1">
        <v>381.1</v>
      </c>
      <c r="J133" s="1">
        <v>6.6</v>
      </c>
      <c r="K133" s="1">
        <v>4.9000000000000004</v>
      </c>
      <c r="L133" s="1" t="s">
        <v>35</v>
      </c>
    </row>
    <row r="134" spans="1:12" x14ac:dyDescent="0.3">
      <c r="A134" s="1">
        <v>133</v>
      </c>
      <c r="B134" s="1" t="s">
        <v>60</v>
      </c>
      <c r="C134" s="1" t="s">
        <v>42</v>
      </c>
      <c r="D134" s="1" t="s">
        <v>54</v>
      </c>
      <c r="E134" s="1" t="s">
        <v>61</v>
      </c>
      <c r="F134" s="1" t="s">
        <v>33</v>
      </c>
      <c r="G134" s="1" t="s">
        <v>24</v>
      </c>
      <c r="H134" s="1" t="s">
        <v>18</v>
      </c>
      <c r="I134" s="1">
        <v>585.44000000000005</v>
      </c>
      <c r="J134" s="1">
        <v>2</v>
      </c>
      <c r="K134" s="1">
        <v>3.1</v>
      </c>
      <c r="L134" s="1" t="s">
        <v>19</v>
      </c>
    </row>
    <row r="135" spans="1:12" x14ac:dyDescent="0.3">
      <c r="A135" s="1">
        <v>134</v>
      </c>
      <c r="B135" s="1" t="s">
        <v>30</v>
      </c>
      <c r="C135" s="1" t="s">
        <v>63</v>
      </c>
      <c r="D135" s="1" t="s">
        <v>39</v>
      </c>
      <c r="E135" s="1" t="s">
        <v>44</v>
      </c>
      <c r="F135" s="1" t="s">
        <v>33</v>
      </c>
      <c r="G135" s="1" t="s">
        <v>29</v>
      </c>
      <c r="H135" s="1" t="s">
        <v>18</v>
      </c>
      <c r="I135" s="1">
        <v>291.94</v>
      </c>
      <c r="J135" s="1">
        <v>10</v>
      </c>
      <c r="K135" s="1">
        <v>2.7</v>
      </c>
      <c r="L135" s="1" t="s">
        <v>35</v>
      </c>
    </row>
    <row r="136" spans="1:12" x14ac:dyDescent="0.3">
      <c r="A136" s="1">
        <v>135</v>
      </c>
      <c r="B136" s="1" t="s">
        <v>20</v>
      </c>
      <c r="C136" s="1" t="s">
        <v>45</v>
      </c>
      <c r="D136" s="1" t="s">
        <v>54</v>
      </c>
      <c r="E136" s="1" t="s">
        <v>22</v>
      </c>
      <c r="F136" s="1" t="s">
        <v>23</v>
      </c>
      <c r="G136" s="1" t="s">
        <v>29</v>
      </c>
      <c r="H136" s="1" t="s">
        <v>25</v>
      </c>
      <c r="I136" s="1">
        <v>765.47</v>
      </c>
      <c r="J136" s="1">
        <v>5.3</v>
      </c>
      <c r="K136" s="1">
        <v>3.6</v>
      </c>
      <c r="L136" s="1" t="s">
        <v>19</v>
      </c>
    </row>
    <row r="137" spans="1:12" x14ac:dyDescent="0.3">
      <c r="A137" s="1">
        <v>136</v>
      </c>
      <c r="B137" s="1" t="s">
        <v>38</v>
      </c>
      <c r="C137" s="1" t="s">
        <v>37</v>
      </c>
      <c r="D137" s="1" t="s">
        <v>14</v>
      </c>
      <c r="E137" s="1" t="s">
        <v>61</v>
      </c>
      <c r="F137" s="1" t="s">
        <v>23</v>
      </c>
      <c r="G137" s="1" t="s">
        <v>17</v>
      </c>
      <c r="H137" s="1" t="s">
        <v>34</v>
      </c>
      <c r="I137" s="1">
        <v>730.82</v>
      </c>
      <c r="J137" s="1">
        <v>2.7</v>
      </c>
      <c r="K137" s="1">
        <v>4.0999999999999996</v>
      </c>
      <c r="L137" s="1" t="s">
        <v>35</v>
      </c>
    </row>
    <row r="138" spans="1:12" x14ac:dyDescent="0.3">
      <c r="A138" s="1">
        <v>137</v>
      </c>
      <c r="B138" s="1" t="s">
        <v>60</v>
      </c>
      <c r="C138" s="1" t="s">
        <v>63</v>
      </c>
      <c r="D138" s="1" t="s">
        <v>39</v>
      </c>
      <c r="E138" s="1" t="s">
        <v>28</v>
      </c>
      <c r="F138" s="1" t="s">
        <v>23</v>
      </c>
      <c r="G138" s="1" t="s">
        <v>17</v>
      </c>
      <c r="H138" s="1" t="s">
        <v>18</v>
      </c>
      <c r="I138" s="1">
        <v>690.75</v>
      </c>
      <c r="J138" s="1">
        <v>9.5</v>
      </c>
      <c r="K138" s="1">
        <v>4.0999999999999996</v>
      </c>
      <c r="L138" s="1" t="s">
        <v>35</v>
      </c>
    </row>
    <row r="139" spans="1:12" x14ac:dyDescent="0.3">
      <c r="A139" s="1">
        <v>138</v>
      </c>
      <c r="B139" s="1" t="s">
        <v>62</v>
      </c>
      <c r="C139" s="1" t="s">
        <v>45</v>
      </c>
      <c r="D139" s="1" t="s">
        <v>54</v>
      </c>
      <c r="E139" s="1" t="s">
        <v>15</v>
      </c>
      <c r="F139" s="1" t="s">
        <v>23</v>
      </c>
      <c r="G139" s="1" t="s">
        <v>29</v>
      </c>
      <c r="H139" s="1" t="s">
        <v>34</v>
      </c>
      <c r="I139" s="1">
        <v>313.17</v>
      </c>
      <c r="J139" s="1">
        <v>9.3000000000000007</v>
      </c>
      <c r="K139" s="1">
        <v>3.5</v>
      </c>
      <c r="L139" s="1" t="s">
        <v>51</v>
      </c>
    </row>
    <row r="140" spans="1:12" x14ac:dyDescent="0.3">
      <c r="A140" s="1">
        <v>139</v>
      </c>
      <c r="B140" s="1" t="s">
        <v>60</v>
      </c>
      <c r="C140" s="1" t="s">
        <v>59</v>
      </c>
      <c r="D140" s="1" t="s">
        <v>14</v>
      </c>
      <c r="E140" s="1" t="s">
        <v>61</v>
      </c>
      <c r="F140" s="1" t="s">
        <v>23</v>
      </c>
      <c r="G140" s="1" t="s">
        <v>17</v>
      </c>
      <c r="H140" s="1" t="s">
        <v>18</v>
      </c>
      <c r="I140" s="1">
        <v>624.26</v>
      </c>
      <c r="J140" s="1">
        <v>5.5</v>
      </c>
      <c r="K140" s="1">
        <v>2.9</v>
      </c>
      <c r="L140" s="1" t="s">
        <v>19</v>
      </c>
    </row>
    <row r="141" spans="1:12" x14ac:dyDescent="0.3">
      <c r="A141" s="1">
        <v>140</v>
      </c>
      <c r="B141" s="1" t="s">
        <v>58</v>
      </c>
      <c r="C141" s="1" t="s">
        <v>42</v>
      </c>
      <c r="D141" s="1" t="s">
        <v>46</v>
      </c>
      <c r="E141" s="1" t="s">
        <v>61</v>
      </c>
      <c r="F141" s="1" t="s">
        <v>23</v>
      </c>
      <c r="G141" s="1" t="s">
        <v>29</v>
      </c>
      <c r="H141" s="1" t="s">
        <v>18</v>
      </c>
      <c r="I141" s="1">
        <v>646.41</v>
      </c>
      <c r="J141" s="1">
        <v>9.1999999999999993</v>
      </c>
      <c r="K141" s="1">
        <v>4.5999999999999996</v>
      </c>
      <c r="L141" s="1" t="s">
        <v>35</v>
      </c>
    </row>
    <row r="142" spans="1:12" x14ac:dyDescent="0.3">
      <c r="A142" s="1">
        <v>141</v>
      </c>
      <c r="B142" s="1" t="s">
        <v>26</v>
      </c>
      <c r="C142" s="1" t="s">
        <v>13</v>
      </c>
      <c r="D142" s="1" t="s">
        <v>57</v>
      </c>
      <c r="E142" s="1" t="s">
        <v>55</v>
      </c>
      <c r="F142" s="1" t="s">
        <v>33</v>
      </c>
      <c r="G142" s="1" t="s">
        <v>24</v>
      </c>
      <c r="H142" s="1" t="s">
        <v>18</v>
      </c>
      <c r="I142" s="1">
        <v>91.32</v>
      </c>
      <c r="J142" s="1">
        <v>5.2</v>
      </c>
      <c r="K142" s="1">
        <v>4.8</v>
      </c>
      <c r="L142" s="1" t="s">
        <v>19</v>
      </c>
    </row>
    <row r="143" spans="1:12" x14ac:dyDescent="0.3">
      <c r="A143" s="1">
        <v>142</v>
      </c>
      <c r="B143" s="1" t="s">
        <v>12</v>
      </c>
      <c r="C143" s="1" t="s">
        <v>45</v>
      </c>
      <c r="D143" s="1" t="s">
        <v>14</v>
      </c>
      <c r="E143" s="1" t="s">
        <v>28</v>
      </c>
      <c r="F143" s="1" t="s">
        <v>41</v>
      </c>
      <c r="G143" s="1" t="s">
        <v>29</v>
      </c>
      <c r="H143" s="1" t="s">
        <v>25</v>
      </c>
      <c r="I143" s="1">
        <v>214.48</v>
      </c>
      <c r="J143" s="1">
        <v>3.6</v>
      </c>
      <c r="K143" s="1">
        <v>3.9</v>
      </c>
      <c r="L143" s="1" t="s">
        <v>48</v>
      </c>
    </row>
    <row r="144" spans="1:12" x14ac:dyDescent="0.3">
      <c r="A144" s="1">
        <v>143</v>
      </c>
      <c r="B144" s="1" t="s">
        <v>38</v>
      </c>
      <c r="C144" s="1" t="s">
        <v>42</v>
      </c>
      <c r="D144" s="1" t="s">
        <v>57</v>
      </c>
      <c r="E144" s="1" t="s">
        <v>22</v>
      </c>
      <c r="F144" s="1" t="s">
        <v>16</v>
      </c>
      <c r="G144" s="1" t="s">
        <v>29</v>
      </c>
      <c r="H144" s="1" t="s">
        <v>18</v>
      </c>
      <c r="I144" s="1">
        <v>644.97</v>
      </c>
      <c r="J144" s="1">
        <v>5.7</v>
      </c>
      <c r="K144" s="1">
        <v>2.7</v>
      </c>
      <c r="L144" s="1" t="s">
        <v>19</v>
      </c>
    </row>
    <row r="145" spans="1:12" x14ac:dyDescent="0.3">
      <c r="A145" s="1">
        <v>144</v>
      </c>
      <c r="B145" s="1" t="s">
        <v>60</v>
      </c>
      <c r="C145" s="1" t="s">
        <v>27</v>
      </c>
      <c r="D145" s="1" t="s">
        <v>54</v>
      </c>
      <c r="E145" s="1" t="s">
        <v>44</v>
      </c>
      <c r="F145" s="1" t="s">
        <v>23</v>
      </c>
      <c r="G145" s="1" t="s">
        <v>24</v>
      </c>
      <c r="H145" s="1" t="s">
        <v>25</v>
      </c>
      <c r="I145" s="1">
        <v>637.55999999999995</v>
      </c>
      <c r="J145" s="1">
        <v>5.4</v>
      </c>
      <c r="K145" s="1">
        <v>4.5</v>
      </c>
      <c r="L145" s="1" t="s">
        <v>35</v>
      </c>
    </row>
    <row r="146" spans="1:12" x14ac:dyDescent="0.3">
      <c r="A146" s="1">
        <v>145</v>
      </c>
      <c r="B146" s="1" t="s">
        <v>26</v>
      </c>
      <c r="C146" s="1" t="s">
        <v>45</v>
      </c>
      <c r="D146" s="1" t="s">
        <v>21</v>
      </c>
      <c r="E146" s="1" t="s">
        <v>44</v>
      </c>
      <c r="F146" s="1" t="s">
        <v>41</v>
      </c>
      <c r="G146" s="1" t="s">
        <v>29</v>
      </c>
      <c r="H146" s="1" t="s">
        <v>34</v>
      </c>
      <c r="I146" s="1">
        <v>512.48</v>
      </c>
      <c r="J146" s="1">
        <v>1.8</v>
      </c>
      <c r="K146" s="1">
        <v>3.7</v>
      </c>
      <c r="L146" s="1" t="s">
        <v>35</v>
      </c>
    </row>
    <row r="147" spans="1:12" x14ac:dyDescent="0.3">
      <c r="A147" s="1">
        <v>146</v>
      </c>
      <c r="B147" s="1" t="s">
        <v>36</v>
      </c>
      <c r="C147" s="1" t="s">
        <v>27</v>
      </c>
      <c r="D147" s="1" t="s">
        <v>50</v>
      </c>
      <c r="E147" s="1" t="s">
        <v>61</v>
      </c>
      <c r="F147" s="1" t="s">
        <v>41</v>
      </c>
      <c r="G147" s="1" t="s">
        <v>17</v>
      </c>
      <c r="H147" s="1" t="s">
        <v>34</v>
      </c>
      <c r="I147" s="1">
        <v>614.05999999999995</v>
      </c>
      <c r="J147" s="1">
        <v>2.9</v>
      </c>
      <c r="K147" s="1">
        <v>4.5</v>
      </c>
      <c r="L147" s="1" t="s">
        <v>51</v>
      </c>
    </row>
    <row r="148" spans="1:12" x14ac:dyDescent="0.3">
      <c r="A148" s="1">
        <v>147</v>
      </c>
      <c r="B148" s="1" t="s">
        <v>26</v>
      </c>
      <c r="C148" s="1" t="s">
        <v>56</v>
      </c>
      <c r="D148" s="1" t="s">
        <v>40</v>
      </c>
      <c r="E148" s="1" t="s">
        <v>15</v>
      </c>
      <c r="F148" s="1" t="s">
        <v>33</v>
      </c>
      <c r="G148" s="1" t="s">
        <v>29</v>
      </c>
      <c r="H148" s="1" t="s">
        <v>25</v>
      </c>
      <c r="I148" s="1">
        <v>329.7</v>
      </c>
      <c r="J148" s="1">
        <v>3</v>
      </c>
      <c r="K148" s="1">
        <v>4.4000000000000004</v>
      </c>
      <c r="L148" s="1" t="s">
        <v>35</v>
      </c>
    </row>
    <row r="149" spans="1:12" x14ac:dyDescent="0.3">
      <c r="A149" s="1">
        <v>148</v>
      </c>
      <c r="B149" s="1" t="s">
        <v>38</v>
      </c>
      <c r="C149" s="1" t="s">
        <v>56</v>
      </c>
      <c r="D149" s="1" t="s">
        <v>40</v>
      </c>
      <c r="E149" s="1" t="s">
        <v>22</v>
      </c>
      <c r="F149" s="1" t="s">
        <v>41</v>
      </c>
      <c r="G149" s="1" t="s">
        <v>29</v>
      </c>
      <c r="H149" s="1" t="s">
        <v>34</v>
      </c>
      <c r="I149" s="1">
        <v>411.84</v>
      </c>
      <c r="J149" s="1">
        <v>9.6999999999999993</v>
      </c>
      <c r="K149" s="1">
        <v>4.7</v>
      </c>
      <c r="L149" s="1" t="s">
        <v>35</v>
      </c>
    </row>
    <row r="150" spans="1:12" x14ac:dyDescent="0.3">
      <c r="A150" s="1">
        <v>149</v>
      </c>
      <c r="B150" s="1" t="s">
        <v>58</v>
      </c>
      <c r="C150" s="1" t="s">
        <v>49</v>
      </c>
      <c r="D150" s="1" t="s">
        <v>39</v>
      </c>
      <c r="E150" s="1" t="s">
        <v>55</v>
      </c>
      <c r="F150" s="1" t="s">
        <v>33</v>
      </c>
      <c r="G150" s="1" t="s">
        <v>29</v>
      </c>
      <c r="H150" s="1" t="s">
        <v>18</v>
      </c>
      <c r="I150" s="1">
        <v>407.11</v>
      </c>
      <c r="J150" s="1">
        <v>3.5</v>
      </c>
      <c r="K150" s="1">
        <v>3</v>
      </c>
      <c r="L150" s="1" t="s">
        <v>48</v>
      </c>
    </row>
    <row r="151" spans="1:12" x14ac:dyDescent="0.3">
      <c r="A151" s="1">
        <v>150</v>
      </c>
      <c r="B151" s="1" t="s">
        <v>20</v>
      </c>
      <c r="C151" s="1" t="s">
        <v>13</v>
      </c>
      <c r="D151" s="1" t="s">
        <v>21</v>
      </c>
      <c r="E151" s="1" t="s">
        <v>61</v>
      </c>
      <c r="F151" s="1" t="s">
        <v>47</v>
      </c>
      <c r="G151" s="1" t="s">
        <v>24</v>
      </c>
      <c r="H151" s="1" t="s">
        <v>34</v>
      </c>
      <c r="I151" s="1">
        <v>256.39</v>
      </c>
      <c r="J151" s="1">
        <v>7.3</v>
      </c>
      <c r="K151" s="1">
        <v>3.6</v>
      </c>
      <c r="L151" s="1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F8F5A-4B24-4E07-AC3A-C9E0A622917F}">
  <dimension ref="A1:Y151"/>
  <sheetViews>
    <sheetView tabSelected="1" topLeftCell="I4" workbookViewId="0">
      <selection activeCell="P14" sqref="P14:R24"/>
    </sheetView>
  </sheetViews>
  <sheetFormatPr defaultRowHeight="14.4" x14ac:dyDescent="0.3"/>
  <cols>
    <col min="1" max="1" width="4" bestFit="1" customWidth="1"/>
    <col min="2" max="2" width="10" bestFit="1" customWidth="1"/>
    <col min="3" max="3" width="8.5546875" bestFit="1" customWidth="1"/>
    <col min="4" max="4" width="7.5546875" bestFit="1" customWidth="1"/>
    <col min="5" max="5" width="9.109375" bestFit="1" customWidth="1"/>
    <col min="6" max="6" width="10" bestFit="1" customWidth="1"/>
    <col min="7" max="7" width="7.44140625" bestFit="1" customWidth="1"/>
    <col min="8" max="8" width="11" bestFit="1" customWidth="1"/>
    <col min="9" max="9" width="10" bestFit="1" customWidth="1"/>
    <col min="10" max="10" width="15.44140625" bestFit="1" customWidth="1"/>
    <col min="11" max="11" width="15.5546875" bestFit="1" customWidth="1"/>
    <col min="12" max="12" width="12.109375" bestFit="1" customWidth="1"/>
    <col min="16" max="16" width="8.6640625" bestFit="1" customWidth="1"/>
    <col min="17" max="17" width="19.21875" customWidth="1"/>
    <col min="18" max="18" width="18.33203125" customWidth="1"/>
    <col min="19" max="19" width="10.21875" customWidth="1"/>
    <col min="20" max="20" width="10.5546875" customWidth="1"/>
    <col min="22" max="22" width="11.33203125" customWidth="1"/>
    <col min="23" max="23" width="13" customWidth="1"/>
    <col min="24" max="24" width="14.33203125" customWidth="1"/>
    <col min="25" max="25" width="15.44140625" customWidth="1"/>
  </cols>
  <sheetData>
    <row r="1" spans="1:25" s="4" customFormat="1" ht="43.2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P1" s="3" t="s">
        <v>1</v>
      </c>
      <c r="Q1" s="5" t="s">
        <v>65</v>
      </c>
      <c r="R1" s="5" t="s">
        <v>64</v>
      </c>
      <c r="S1" s="5" t="s">
        <v>66</v>
      </c>
      <c r="T1" s="5" t="s">
        <v>67</v>
      </c>
      <c r="V1" s="7" t="s">
        <v>68</v>
      </c>
      <c r="W1" s="7" t="s">
        <v>69</v>
      </c>
      <c r="X1" s="7" t="s">
        <v>70</v>
      </c>
      <c r="Y1" s="7" t="s">
        <v>71</v>
      </c>
    </row>
    <row r="2" spans="1:25" x14ac:dyDescent="0.3">
      <c r="A2" s="1">
        <v>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>
        <v>244.06</v>
      </c>
      <c r="J2" s="1">
        <v>6</v>
      </c>
      <c r="K2" s="1">
        <v>4.9000000000000004</v>
      </c>
      <c r="L2" s="1" t="s">
        <v>19</v>
      </c>
      <c r="P2" s="1" t="s">
        <v>36</v>
      </c>
      <c r="Q2" s="1" cm="1">
        <f t="array" ref="Q2">MEDIAN(_xlfn._xlws.FILTER($I$2:$I$151,$B$2:$B$151=P2,0))</f>
        <v>468.58</v>
      </c>
      <c r="R2" s="1">
        <f t="array" ref="R2">MEDIAN(IF($B$2:$B$151=P2,$I$2:$I$151))</f>
        <v>468.58</v>
      </c>
      <c r="S2" s="6">
        <f t="shared" ref="S2:S11" si="0">AVERAGEIFS($J$2:$J$151,$B$2:$B$151,P2)</f>
        <v>6.5279999999999996</v>
      </c>
      <c r="T2" s="1">
        <f t="shared" ref="T2:T11" si="1">_xlfn.RANK.AVG(S2,$S$2:$S$11,0)</f>
        <v>1</v>
      </c>
      <c r="V2" s="1" t="s">
        <v>32</v>
      </c>
      <c r="W2" s="1" cm="1">
        <f t="array" ref="W2">MEDIAN(_xlfn._xlws.FILTER($I$2:$I$151,IF($B$2:$B$151=$P$11,0,$E$2:$E$151=$V2),0))</f>
        <v>344.54499999999996</v>
      </c>
      <c r="X2" s="1">
        <f t="array" ref="X2">MEDIAN(_xlfn._xlws.FILTER($I$2:$I$151,IF($B$2:$B$151=$P$11,$E$2:$E$151=$V2,0),0))</f>
        <v>677.98</v>
      </c>
      <c r="Y2" s="6" cm="1">
        <f t="array" ref="Y2">IFERROR((X2/W2)*100,NA)</f>
        <v>196.77545748741096</v>
      </c>
    </row>
    <row r="3" spans="1:25" x14ac:dyDescent="0.3">
      <c r="A3" s="1">
        <v>2</v>
      </c>
      <c r="B3" s="1" t="s">
        <v>20</v>
      </c>
      <c r="C3" s="1" t="s">
        <v>13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>
        <v>366.73</v>
      </c>
      <c r="J3" s="1">
        <v>8.8000000000000007</v>
      </c>
      <c r="K3" s="1">
        <v>3.3</v>
      </c>
      <c r="L3" s="1" t="s">
        <v>19</v>
      </c>
      <c r="P3" s="1" t="s">
        <v>52</v>
      </c>
      <c r="Q3" s="1" cm="1">
        <f t="array" ref="Q3">MEDIAN(_xlfn._xlws.FILTER($I$2:$I$151,$B$2:$B$151=P3,0))</f>
        <v>399.37</v>
      </c>
      <c r="R3" s="1">
        <f t="array" ref="R3">MEDIAN(IF($B$2:$B$151=P3,$I$2:$I$151))</f>
        <v>399.37</v>
      </c>
      <c r="S3" s="6">
        <f t="shared" si="0"/>
        <v>6.4846153846153847</v>
      </c>
      <c r="T3" s="1">
        <f t="shared" si="1"/>
        <v>2</v>
      </c>
      <c r="V3" s="1" t="s">
        <v>44</v>
      </c>
      <c r="W3" s="1" cm="1">
        <f t="array" ref="W3">MEDIAN(_xlfn._xlws.FILTER($I$2:$I$151,IF($B$2:$B$151=$P$11,0,$E$2:$E$151=$V3),0))</f>
        <v>437.69</v>
      </c>
      <c r="X3" s="1">
        <f t="array" ref="X3">MEDIAN(_xlfn._xlws.FILTER($I$2:$I$151,IF($B$2:$B$151=$P$11,$E$2:$E$151=$V3,0),0))</f>
        <v>738.25</v>
      </c>
      <c r="Y3" s="6" cm="1">
        <f t="array" ref="Y3">IFERROR((X3/W3)*100,NA)</f>
        <v>168.66960634238845</v>
      </c>
    </row>
    <row r="4" spans="1:25" x14ac:dyDescent="0.3">
      <c r="A4" s="1">
        <v>3</v>
      </c>
      <c r="B4" s="1" t="s">
        <v>26</v>
      </c>
      <c r="C4" s="1" t="s">
        <v>27</v>
      </c>
      <c r="D4" s="1" t="s">
        <v>14</v>
      </c>
      <c r="E4" s="1" t="s">
        <v>28</v>
      </c>
      <c r="F4" s="1" t="s">
        <v>16</v>
      </c>
      <c r="G4" s="1" t="s">
        <v>29</v>
      </c>
      <c r="H4" s="1" t="s">
        <v>18</v>
      </c>
      <c r="I4" s="1">
        <v>741.55</v>
      </c>
      <c r="J4" s="1">
        <v>4.8</v>
      </c>
      <c r="K4" s="1">
        <v>3.5</v>
      </c>
      <c r="L4" s="1" t="s">
        <v>19</v>
      </c>
      <c r="P4" s="1" t="s">
        <v>62</v>
      </c>
      <c r="Q4" s="1" cm="1">
        <f t="array" ref="Q4">MEDIAN(_xlfn._xlws.FILTER($I$2:$I$151,$B$2:$B$151=P4,0))</f>
        <v>367.56</v>
      </c>
      <c r="R4" s="1">
        <f t="array" ref="R4">MEDIAN(IF($B$2:$B$151=P4,$I$2:$I$151))</f>
        <v>367.56</v>
      </c>
      <c r="S4" s="6">
        <f t="shared" si="0"/>
        <v>6.4615384615384617</v>
      </c>
      <c r="T4" s="1">
        <f t="shared" si="1"/>
        <v>3</v>
      </c>
      <c r="V4" s="1" t="s">
        <v>22</v>
      </c>
      <c r="W4" s="1" cm="1">
        <f t="array" ref="W4">MEDIAN(_xlfn._xlws.FILTER($I$2:$I$151,IF($B$2:$B$151=$P$11,0,$E$2:$E$151=$V4),0))</f>
        <v>536.20000000000005</v>
      </c>
      <c r="X4" s="1">
        <f t="array" ref="X4">MEDIAN(_xlfn._xlws.FILTER($I$2:$I$151,IF($B$2:$B$151=$P$11,$E$2:$E$151=$V4,0),0))</f>
        <v>644.97</v>
      </c>
      <c r="Y4" s="6" cm="1">
        <f t="array" ref="Y4">IFERROR((X4/W4)*100,NA)</f>
        <v>120.28534129056321</v>
      </c>
    </row>
    <row r="5" spans="1:25" x14ac:dyDescent="0.3">
      <c r="A5" s="1">
        <v>4</v>
      </c>
      <c r="B5" s="1" t="s">
        <v>30</v>
      </c>
      <c r="C5" s="1" t="s">
        <v>27</v>
      </c>
      <c r="D5" s="1" t="s">
        <v>31</v>
      </c>
      <c r="E5" s="1" t="s">
        <v>32</v>
      </c>
      <c r="F5" s="1" t="s">
        <v>33</v>
      </c>
      <c r="G5" s="1" t="s">
        <v>24</v>
      </c>
      <c r="H5" s="1" t="s">
        <v>34</v>
      </c>
      <c r="I5" s="1">
        <v>116.09</v>
      </c>
      <c r="J5" s="1">
        <v>7.5</v>
      </c>
      <c r="K5" s="1">
        <v>3.1</v>
      </c>
      <c r="L5" s="1" t="s">
        <v>35</v>
      </c>
      <c r="P5" s="1" t="s">
        <v>12</v>
      </c>
      <c r="Q5" s="1" cm="1">
        <f t="array" ref="Q5">MEDIAN(_xlfn._xlws.FILTER($I$2:$I$151,$B$2:$B$151=P5,0))</f>
        <v>555.62</v>
      </c>
      <c r="R5" s="1">
        <f t="array" ref="R5">MEDIAN(IF($B$2:$B$151=P5,$I$2:$I$151))</f>
        <v>555.62</v>
      </c>
      <c r="S5" s="6">
        <f t="shared" si="0"/>
        <v>6.2700000000000005</v>
      </c>
      <c r="T5" s="1">
        <f t="shared" si="1"/>
        <v>4</v>
      </c>
      <c r="V5" s="1" t="s">
        <v>61</v>
      </c>
      <c r="W5" s="1" cm="1">
        <f t="array" ref="W5">MEDIAN(_xlfn._xlws.FILTER($I$2:$I$151,IF($B$2:$B$151=$P$11,0,$E$2:$E$151=$V5),0))</f>
        <v>559.9</v>
      </c>
      <c r="X5" s="1">
        <f t="array" ref="X5">MEDIAN(_xlfn._xlws.FILTER($I$2:$I$151,IF($B$2:$B$151=$P$11,$E$2:$E$151=$V5,0),0))</f>
        <v>618.52499999999998</v>
      </c>
      <c r="Y5" s="6" cm="1">
        <f t="array" ref="Y5">IFERROR((X5/W5)*100,NA)</f>
        <v>110.47061975352742</v>
      </c>
    </row>
    <row r="6" spans="1:25" x14ac:dyDescent="0.3">
      <c r="A6" s="1">
        <v>5</v>
      </c>
      <c r="B6" s="1" t="s">
        <v>36</v>
      </c>
      <c r="C6" s="1" t="s">
        <v>37</v>
      </c>
      <c r="D6" s="1" t="s">
        <v>31</v>
      </c>
      <c r="E6" s="1" t="s">
        <v>32</v>
      </c>
      <c r="F6" s="1" t="s">
        <v>33</v>
      </c>
      <c r="G6" s="1" t="s">
        <v>29</v>
      </c>
      <c r="H6" s="1" t="s">
        <v>18</v>
      </c>
      <c r="I6" s="1">
        <v>193.16</v>
      </c>
      <c r="J6" s="1">
        <v>7.8</v>
      </c>
      <c r="K6" s="1">
        <v>4.3</v>
      </c>
      <c r="L6" s="1" t="s">
        <v>35</v>
      </c>
      <c r="P6" s="1" t="s">
        <v>30</v>
      </c>
      <c r="Q6" s="1" cm="1">
        <f t="array" ref="Q6">MEDIAN(_xlfn._xlws.FILTER($I$2:$I$151,$B$2:$B$151=P6,0))</f>
        <v>358.65</v>
      </c>
      <c r="R6" s="1">
        <f t="array" ref="R6">MEDIAN(IF($B$2:$B$151=P6,$I$2:$I$151))</f>
        <v>358.65</v>
      </c>
      <c r="S6" s="6">
        <f t="shared" si="0"/>
        <v>5.8549999999999995</v>
      </c>
      <c r="T6" s="1">
        <f t="shared" si="1"/>
        <v>5</v>
      </c>
      <c r="V6" s="1" t="s">
        <v>28</v>
      </c>
      <c r="W6" s="1" cm="1">
        <f t="array" ref="W6">MEDIAN(_xlfn._xlws.FILTER($I$2:$I$151,IF($B$2:$B$151=$P$11,0,$E$2:$E$151=$V6),0))</f>
        <v>445.18</v>
      </c>
      <c r="X6" s="1">
        <f t="array" ref="X6">MEDIAN(_xlfn._xlws.FILTER($I$2:$I$151,IF($B$2:$B$151=$P$11,$E$2:$E$151=$V6,0),0))</f>
        <v>439.44500000000005</v>
      </c>
      <c r="Y6" s="6" cm="1">
        <f t="array" ref="Y6">IFERROR((X6/W6)*100,NA)</f>
        <v>98.711757042095343</v>
      </c>
    </row>
    <row r="7" spans="1:25" x14ac:dyDescent="0.3">
      <c r="A7" s="1">
        <v>6</v>
      </c>
      <c r="B7" s="1" t="s">
        <v>38</v>
      </c>
      <c r="C7" s="1" t="s">
        <v>37</v>
      </c>
      <c r="D7" s="1" t="s">
        <v>39</v>
      </c>
      <c r="E7" s="1" t="s">
        <v>28</v>
      </c>
      <c r="F7" s="1" t="s">
        <v>33</v>
      </c>
      <c r="G7" s="1" t="s">
        <v>29</v>
      </c>
      <c r="H7" s="1" t="s">
        <v>18</v>
      </c>
      <c r="I7" s="1">
        <v>699.85</v>
      </c>
      <c r="J7" s="1">
        <v>1.7</v>
      </c>
      <c r="K7" s="1">
        <v>4.2</v>
      </c>
      <c r="L7" s="1" t="s">
        <v>35</v>
      </c>
      <c r="P7" s="1" t="s">
        <v>60</v>
      </c>
      <c r="Q7" s="1" cm="1">
        <f t="array" ref="Q7">MEDIAN(_xlfn._xlws.FILTER($I$2:$I$151,$B$2:$B$151=P7,0))</f>
        <v>564.05500000000006</v>
      </c>
      <c r="R7" s="1">
        <f t="array" ref="R7">MEDIAN(IF($B$2:$B$151=P7,$I$2:$I$151))</f>
        <v>564.05500000000006</v>
      </c>
      <c r="S7" s="6">
        <f t="shared" si="0"/>
        <v>5.8249999999999993</v>
      </c>
      <c r="T7" s="1">
        <f t="shared" si="1"/>
        <v>6</v>
      </c>
      <c r="V7" s="1" t="s">
        <v>55</v>
      </c>
      <c r="W7" s="1" cm="1">
        <f t="array" ref="W7">MEDIAN(_xlfn._xlws.FILTER($I$2:$I$151,IF($B$2:$B$151=$P$11,0,$E$2:$E$151=$V7),0))</f>
        <v>443.57499999999999</v>
      </c>
      <c r="X7" s="1">
        <f t="array" ref="X7">MEDIAN(_xlfn._xlws.FILTER($I$2:$I$151,IF($B$2:$B$151=$P$11,$E$2:$E$151=$V7,0),0))</f>
        <v>52.28</v>
      </c>
      <c r="Y7" s="6" cm="1">
        <f t="array" ref="Y7">IFERROR((X7/W7)*100,NA)</f>
        <v>11.786056472975257</v>
      </c>
    </row>
    <row r="8" spans="1:25" x14ac:dyDescent="0.3">
      <c r="A8" s="1">
        <v>7</v>
      </c>
      <c r="B8" s="1" t="s">
        <v>38</v>
      </c>
      <c r="C8" s="1" t="s">
        <v>27</v>
      </c>
      <c r="D8" s="1" t="s">
        <v>40</v>
      </c>
      <c r="E8" s="1" t="s">
        <v>28</v>
      </c>
      <c r="F8" s="1" t="s">
        <v>41</v>
      </c>
      <c r="G8" s="1" t="s">
        <v>24</v>
      </c>
      <c r="H8" s="1" t="s">
        <v>18</v>
      </c>
      <c r="I8" s="1">
        <v>497.79</v>
      </c>
      <c r="J8" s="1">
        <v>9.6999999999999993</v>
      </c>
      <c r="K8" s="1">
        <v>3</v>
      </c>
      <c r="L8" s="1" t="s">
        <v>19</v>
      </c>
      <c r="P8" s="1" t="s">
        <v>20</v>
      </c>
      <c r="Q8" s="1" cm="1">
        <f t="array" ref="Q8">MEDIAN(_xlfn._xlws.FILTER($I$2:$I$151,$B$2:$B$151=P8,0))</f>
        <v>456.76</v>
      </c>
      <c r="R8" s="1">
        <f t="array" ref="R8">MEDIAN(IF($B$2:$B$151=P8,$I$2:$I$151))</f>
        <v>456.76</v>
      </c>
      <c r="S8" s="6">
        <f t="shared" si="0"/>
        <v>5.6428571428571432</v>
      </c>
      <c r="T8" s="1">
        <f t="shared" si="1"/>
        <v>7</v>
      </c>
      <c r="V8" s="1" t="s">
        <v>15</v>
      </c>
      <c r="W8" s="1" cm="1">
        <f t="array" ref="W8">MEDIAN(_xlfn._xlws.FILTER($I$2:$I$151,IF($B$2:$B$151=$P$11,0,$E$2:$E$151=$V8),0))</f>
        <v>389.24</v>
      </c>
      <c r="X8" s="1">
        <f t="array" ref="X8">MEDIAN(_xlfn._xlws.FILTER($I$2:$I$151,IF($B$2:$B$151=$P$11,$E$2:$E$151=$V8,0),0))</f>
        <v>0</v>
      </c>
      <c r="Y8" s="6" cm="1">
        <f t="array" ref="Y8">IFERROR((X8/W8)*100,NA)</f>
        <v>0</v>
      </c>
    </row>
    <row r="9" spans="1:25" x14ac:dyDescent="0.3">
      <c r="A9" s="1">
        <v>8</v>
      </c>
      <c r="B9" s="1" t="s">
        <v>36</v>
      </c>
      <c r="C9" s="1" t="s">
        <v>42</v>
      </c>
      <c r="D9" s="1" t="s">
        <v>43</v>
      </c>
      <c r="E9" s="1" t="s">
        <v>44</v>
      </c>
      <c r="F9" s="1" t="s">
        <v>16</v>
      </c>
      <c r="G9" s="1" t="s">
        <v>29</v>
      </c>
      <c r="H9" s="1" t="s">
        <v>18</v>
      </c>
      <c r="I9" s="1">
        <v>579.37</v>
      </c>
      <c r="J9" s="1">
        <v>6.6</v>
      </c>
      <c r="K9" s="1">
        <v>3.8</v>
      </c>
      <c r="L9" s="1" t="s">
        <v>35</v>
      </c>
      <c r="P9" s="1" t="s">
        <v>26</v>
      </c>
      <c r="Q9" s="1" cm="1">
        <f t="array" ref="Q9">MEDIAN(_xlfn._xlws.FILTER($I$2:$I$151,$B$2:$B$151=P9,0))</f>
        <v>407.91</v>
      </c>
      <c r="R9" s="1">
        <f t="array" ref="R9">MEDIAN(IF($B$2:$B$151=P9,$I$2:$I$151))</f>
        <v>407.91</v>
      </c>
      <c r="S9" s="6">
        <f t="shared" si="0"/>
        <v>5.2533333333333339</v>
      </c>
      <c r="T9" s="1">
        <f t="shared" si="1"/>
        <v>8</v>
      </c>
    </row>
    <row r="10" spans="1:25" x14ac:dyDescent="0.3">
      <c r="A10" s="1">
        <v>9</v>
      </c>
      <c r="B10" s="1" t="s">
        <v>20</v>
      </c>
      <c r="C10" s="1" t="s">
        <v>13</v>
      </c>
      <c r="D10" s="1" t="s">
        <v>14</v>
      </c>
      <c r="E10" s="1" t="s">
        <v>44</v>
      </c>
      <c r="F10" s="1" t="s">
        <v>41</v>
      </c>
      <c r="G10" s="1" t="s">
        <v>29</v>
      </c>
      <c r="H10" s="1" t="s">
        <v>34</v>
      </c>
      <c r="I10" s="1">
        <v>315.95999999999998</v>
      </c>
      <c r="J10" s="1">
        <v>6.2</v>
      </c>
      <c r="K10" s="1">
        <v>2.8</v>
      </c>
      <c r="L10" s="1" t="s">
        <v>35</v>
      </c>
      <c r="P10" s="1" t="s">
        <v>58</v>
      </c>
      <c r="Q10" s="1" cm="1">
        <f t="array" ref="Q10">MEDIAN(_xlfn._xlws.FILTER($I$2:$I$151,$B$2:$B$151=P10,0))</f>
        <v>424.72500000000002</v>
      </c>
      <c r="R10" s="1">
        <f t="array" ref="R10">MEDIAN(IF($B$2:$B$151=P10,$I$2:$I$151))</f>
        <v>424.72500000000002</v>
      </c>
      <c r="S10" s="6">
        <f t="shared" si="0"/>
        <v>4.6937500000000005</v>
      </c>
      <c r="T10" s="1">
        <f t="shared" si="1"/>
        <v>9</v>
      </c>
    </row>
    <row r="11" spans="1:25" x14ac:dyDescent="0.3">
      <c r="A11" s="1">
        <v>10</v>
      </c>
      <c r="B11" s="1" t="s">
        <v>36</v>
      </c>
      <c r="C11" s="1" t="s">
        <v>45</v>
      </c>
      <c r="D11" s="1" t="s">
        <v>46</v>
      </c>
      <c r="E11" s="1" t="s">
        <v>22</v>
      </c>
      <c r="F11" s="1" t="s">
        <v>47</v>
      </c>
      <c r="G11" s="1" t="s">
        <v>29</v>
      </c>
      <c r="H11" s="1" t="s">
        <v>25</v>
      </c>
      <c r="I11" s="1">
        <v>468.58</v>
      </c>
      <c r="J11" s="1">
        <v>2.5</v>
      </c>
      <c r="K11" s="1">
        <v>4.9000000000000004</v>
      </c>
      <c r="L11" s="1" t="s">
        <v>48</v>
      </c>
      <c r="P11" s="1" t="s">
        <v>38</v>
      </c>
      <c r="Q11" s="1" cm="1">
        <f t="array" ref="Q11">MEDIAN(_xlfn._xlws.FILTER($I$2:$I$151,$B$2:$B$151=P11,0))</f>
        <v>630.85500000000002</v>
      </c>
      <c r="R11" s="1">
        <f t="array" ref="R11">MEDIAN(IF($B$2:$B$151=P11,$I$2:$I$151))</f>
        <v>630.85500000000002</v>
      </c>
      <c r="S11" s="6">
        <f t="shared" si="0"/>
        <v>4.6062500000000002</v>
      </c>
      <c r="T11" s="1">
        <f t="shared" si="1"/>
        <v>10</v>
      </c>
    </row>
    <row r="12" spans="1:25" x14ac:dyDescent="0.3">
      <c r="A12" s="1">
        <v>11</v>
      </c>
      <c r="B12" s="1" t="s">
        <v>20</v>
      </c>
      <c r="C12" s="1" t="s">
        <v>49</v>
      </c>
      <c r="D12" s="1" t="s">
        <v>40</v>
      </c>
      <c r="E12" s="1" t="s">
        <v>44</v>
      </c>
      <c r="F12" s="1" t="s">
        <v>23</v>
      </c>
      <c r="G12" s="1" t="s">
        <v>29</v>
      </c>
      <c r="H12" s="1" t="s">
        <v>25</v>
      </c>
      <c r="I12" s="1">
        <v>452.18</v>
      </c>
      <c r="J12" s="1">
        <v>3.3</v>
      </c>
      <c r="K12" s="1">
        <v>2.6</v>
      </c>
      <c r="L12" s="1" t="s">
        <v>35</v>
      </c>
    </row>
    <row r="13" spans="1:25" x14ac:dyDescent="0.3">
      <c r="A13" s="1">
        <v>12</v>
      </c>
      <c r="B13" s="1" t="s">
        <v>12</v>
      </c>
      <c r="C13" s="1" t="s">
        <v>45</v>
      </c>
      <c r="D13" s="1" t="s">
        <v>50</v>
      </c>
      <c r="E13" s="1" t="s">
        <v>15</v>
      </c>
      <c r="F13" s="1" t="s">
        <v>16</v>
      </c>
      <c r="G13" s="1" t="s">
        <v>17</v>
      </c>
      <c r="H13" s="1" t="s">
        <v>34</v>
      </c>
      <c r="I13" s="1">
        <v>568.66</v>
      </c>
      <c r="J13" s="1">
        <v>2.6</v>
      </c>
      <c r="K13" s="1">
        <v>3.1</v>
      </c>
      <c r="L13" s="1" t="s">
        <v>51</v>
      </c>
    </row>
    <row r="14" spans="1:25" ht="28.8" x14ac:dyDescent="0.3">
      <c r="A14" s="1">
        <v>13</v>
      </c>
      <c r="B14" s="1" t="s">
        <v>52</v>
      </c>
      <c r="C14" s="1" t="s">
        <v>53</v>
      </c>
      <c r="D14" s="1" t="s">
        <v>54</v>
      </c>
      <c r="E14" s="1" t="s">
        <v>32</v>
      </c>
      <c r="F14" s="1" t="s">
        <v>47</v>
      </c>
      <c r="G14" s="1" t="s">
        <v>24</v>
      </c>
      <c r="H14" s="1" t="s">
        <v>25</v>
      </c>
      <c r="I14" s="1">
        <v>532.16999999999996</v>
      </c>
      <c r="J14" s="1">
        <v>1.2</v>
      </c>
      <c r="K14" s="1">
        <v>2.5</v>
      </c>
      <c r="L14" s="1" t="s">
        <v>19</v>
      </c>
      <c r="P14" s="5" t="s">
        <v>2</v>
      </c>
      <c r="Q14" s="5" t="s">
        <v>72</v>
      </c>
      <c r="R14" s="5" t="s">
        <v>73</v>
      </c>
    </row>
    <row r="15" spans="1:25" x14ac:dyDescent="0.3">
      <c r="A15" s="1">
        <v>14</v>
      </c>
      <c r="B15" s="1" t="s">
        <v>36</v>
      </c>
      <c r="C15" s="1" t="s">
        <v>37</v>
      </c>
      <c r="D15" s="1" t="s">
        <v>54</v>
      </c>
      <c r="E15" s="1" t="s">
        <v>32</v>
      </c>
      <c r="F15" s="1" t="s">
        <v>16</v>
      </c>
      <c r="G15" s="1" t="s">
        <v>24</v>
      </c>
      <c r="H15" s="1" t="s">
        <v>18</v>
      </c>
      <c r="I15" s="1">
        <v>95.96</v>
      </c>
      <c r="J15" s="1">
        <v>2.4</v>
      </c>
      <c r="K15" s="1">
        <v>3.3</v>
      </c>
      <c r="L15" s="1" t="s">
        <v>48</v>
      </c>
      <c r="P15" s="1" t="s">
        <v>49</v>
      </c>
      <c r="Q15" s="1">
        <f>COUNTIFS($C$2:$C$151,P15,$B$2:$B$151,$P$11,$E$2:$E$151,$V$7)</f>
        <v>0</v>
      </c>
      <c r="R15" s="1">
        <f>SUMIFS($I$2:$I$151,$C$2:$C$151,P15,$B$2:$B$151,$P$11,$E$2:$E$151,$V$7)</f>
        <v>0</v>
      </c>
    </row>
    <row r="16" spans="1:25" x14ac:dyDescent="0.3">
      <c r="A16" s="1">
        <v>15</v>
      </c>
      <c r="B16" s="1" t="s">
        <v>38</v>
      </c>
      <c r="C16" s="1" t="s">
        <v>13</v>
      </c>
      <c r="D16" s="1" t="s">
        <v>14</v>
      </c>
      <c r="E16" s="1" t="s">
        <v>32</v>
      </c>
      <c r="F16" s="1" t="s">
        <v>33</v>
      </c>
      <c r="G16" s="1" t="s">
        <v>29</v>
      </c>
      <c r="H16" s="1" t="s">
        <v>18</v>
      </c>
      <c r="I16" s="1">
        <v>735.62</v>
      </c>
      <c r="J16" s="1">
        <v>5.8</v>
      </c>
      <c r="K16" s="1">
        <v>4</v>
      </c>
      <c r="L16" s="1" t="s">
        <v>48</v>
      </c>
      <c r="P16" s="1" t="s">
        <v>63</v>
      </c>
      <c r="Q16" s="1">
        <f t="shared" ref="Q16:Q24" si="2">COUNTIFS($C$2:$C$151,P16,$B$2:$B$151,$P$11,$E$2:$E$151,$V$7)</f>
        <v>0</v>
      </c>
      <c r="R16" s="1">
        <f t="shared" ref="R16:R24" si="3">SUMIFS($I$2:$I$151,$C$2:$C$151,P16,$B$2:$B$151,$P$11,$E$2:$E$151,$V$7)</f>
        <v>0</v>
      </c>
    </row>
    <row r="17" spans="1:18" x14ac:dyDescent="0.3">
      <c r="A17" s="1">
        <v>16</v>
      </c>
      <c r="B17" s="1" t="s">
        <v>38</v>
      </c>
      <c r="C17" s="1" t="s">
        <v>45</v>
      </c>
      <c r="D17" s="1" t="s">
        <v>14</v>
      </c>
      <c r="E17" s="1" t="s">
        <v>55</v>
      </c>
      <c r="F17" s="1" t="s">
        <v>33</v>
      </c>
      <c r="G17" s="1" t="s">
        <v>17</v>
      </c>
      <c r="H17" s="1" t="s">
        <v>25</v>
      </c>
      <c r="I17" s="1">
        <v>52.28</v>
      </c>
      <c r="J17" s="1">
        <v>3.9</v>
      </c>
      <c r="K17" s="1">
        <v>3.7</v>
      </c>
      <c r="L17" s="1" t="s">
        <v>48</v>
      </c>
      <c r="P17" s="1" t="s">
        <v>53</v>
      </c>
      <c r="Q17" s="1">
        <f t="shared" si="2"/>
        <v>0</v>
      </c>
      <c r="R17" s="1">
        <f t="shared" si="3"/>
        <v>0</v>
      </c>
    </row>
    <row r="18" spans="1:18" x14ac:dyDescent="0.3">
      <c r="A18" s="1">
        <v>17</v>
      </c>
      <c r="B18" s="1" t="s">
        <v>26</v>
      </c>
      <c r="C18" s="1" t="s">
        <v>56</v>
      </c>
      <c r="D18" s="1" t="s">
        <v>57</v>
      </c>
      <c r="E18" s="1" t="s">
        <v>28</v>
      </c>
      <c r="F18" s="1" t="s">
        <v>33</v>
      </c>
      <c r="G18" s="1" t="s">
        <v>24</v>
      </c>
      <c r="H18" s="1" t="s">
        <v>25</v>
      </c>
      <c r="I18" s="1">
        <v>694.54</v>
      </c>
      <c r="J18" s="1">
        <v>6.2</v>
      </c>
      <c r="K18" s="1">
        <v>3.1</v>
      </c>
      <c r="L18" s="1" t="s">
        <v>51</v>
      </c>
      <c r="P18" s="1" t="s">
        <v>27</v>
      </c>
      <c r="Q18" s="1">
        <f t="shared" si="2"/>
        <v>0</v>
      </c>
      <c r="R18" s="1">
        <f t="shared" si="3"/>
        <v>0</v>
      </c>
    </row>
    <row r="19" spans="1:18" x14ac:dyDescent="0.3">
      <c r="A19" s="1">
        <v>18</v>
      </c>
      <c r="B19" s="1" t="s">
        <v>12</v>
      </c>
      <c r="C19" s="1" t="s">
        <v>53</v>
      </c>
      <c r="D19" s="1" t="s">
        <v>57</v>
      </c>
      <c r="E19" s="1" t="s">
        <v>22</v>
      </c>
      <c r="F19" s="1" t="s">
        <v>41</v>
      </c>
      <c r="G19" s="1" t="s">
        <v>24</v>
      </c>
      <c r="H19" s="1" t="s">
        <v>18</v>
      </c>
      <c r="I19" s="1">
        <v>779.5</v>
      </c>
      <c r="J19" s="1">
        <v>2.5</v>
      </c>
      <c r="K19" s="1">
        <v>4.3</v>
      </c>
      <c r="L19" s="1" t="s">
        <v>19</v>
      </c>
      <c r="P19" s="1" t="s">
        <v>13</v>
      </c>
      <c r="Q19" s="1">
        <f t="shared" si="2"/>
        <v>0</v>
      </c>
      <c r="R19" s="1">
        <f t="shared" si="3"/>
        <v>0</v>
      </c>
    </row>
    <row r="20" spans="1:18" x14ac:dyDescent="0.3">
      <c r="A20" s="1">
        <v>19</v>
      </c>
      <c r="B20" s="1" t="s">
        <v>36</v>
      </c>
      <c r="C20" s="1" t="s">
        <v>53</v>
      </c>
      <c r="D20" s="1" t="s">
        <v>40</v>
      </c>
      <c r="E20" s="1" t="s">
        <v>32</v>
      </c>
      <c r="F20" s="1" t="s">
        <v>47</v>
      </c>
      <c r="G20" s="1" t="s">
        <v>17</v>
      </c>
      <c r="H20" s="1" t="s">
        <v>18</v>
      </c>
      <c r="I20" s="1">
        <v>640.65</v>
      </c>
      <c r="J20" s="1">
        <v>8.4</v>
      </c>
      <c r="K20" s="1">
        <v>4.0999999999999996</v>
      </c>
      <c r="L20" s="1" t="s">
        <v>35</v>
      </c>
      <c r="P20" s="1" t="s">
        <v>59</v>
      </c>
      <c r="Q20" s="1">
        <f t="shared" si="2"/>
        <v>0</v>
      </c>
      <c r="R20" s="1">
        <f t="shared" si="3"/>
        <v>0</v>
      </c>
    </row>
    <row r="21" spans="1:18" x14ac:dyDescent="0.3">
      <c r="A21" s="1">
        <v>20</v>
      </c>
      <c r="B21" s="1" t="s">
        <v>58</v>
      </c>
      <c r="C21" s="1" t="s">
        <v>42</v>
      </c>
      <c r="D21" s="1" t="s">
        <v>54</v>
      </c>
      <c r="E21" s="1" t="s">
        <v>55</v>
      </c>
      <c r="F21" s="1" t="s">
        <v>16</v>
      </c>
      <c r="G21" s="1" t="s">
        <v>17</v>
      </c>
      <c r="H21" s="1" t="s">
        <v>34</v>
      </c>
      <c r="I21" s="1">
        <v>702.19</v>
      </c>
      <c r="J21" s="1">
        <v>6.4</v>
      </c>
      <c r="K21" s="1">
        <v>3.2</v>
      </c>
      <c r="L21" s="1" t="s">
        <v>35</v>
      </c>
      <c r="P21" s="1" t="s">
        <v>56</v>
      </c>
      <c r="Q21" s="1">
        <f t="shared" si="2"/>
        <v>0</v>
      </c>
      <c r="R21" s="1">
        <f t="shared" si="3"/>
        <v>0</v>
      </c>
    </row>
    <row r="22" spans="1:18" x14ac:dyDescent="0.3">
      <c r="A22" s="1">
        <v>21</v>
      </c>
      <c r="B22" s="1" t="s">
        <v>58</v>
      </c>
      <c r="C22" s="1" t="s">
        <v>27</v>
      </c>
      <c r="D22" s="1" t="s">
        <v>21</v>
      </c>
      <c r="E22" s="1" t="s">
        <v>28</v>
      </c>
      <c r="F22" s="1" t="s">
        <v>33</v>
      </c>
      <c r="G22" s="1" t="s">
        <v>29</v>
      </c>
      <c r="H22" s="1" t="s">
        <v>34</v>
      </c>
      <c r="I22" s="1">
        <v>586.84</v>
      </c>
      <c r="J22" s="1">
        <v>6.4</v>
      </c>
      <c r="K22" s="1">
        <v>4.7</v>
      </c>
      <c r="L22" s="1" t="s">
        <v>51</v>
      </c>
      <c r="P22" s="1" t="s">
        <v>45</v>
      </c>
      <c r="Q22" s="1">
        <f t="shared" si="2"/>
        <v>1</v>
      </c>
      <c r="R22" s="1">
        <f t="shared" si="3"/>
        <v>52.28</v>
      </c>
    </row>
    <row r="23" spans="1:18" x14ac:dyDescent="0.3">
      <c r="A23" s="1">
        <v>22</v>
      </c>
      <c r="B23" s="1" t="s">
        <v>20</v>
      </c>
      <c r="C23" s="1" t="s">
        <v>27</v>
      </c>
      <c r="D23" s="1" t="s">
        <v>39</v>
      </c>
      <c r="E23" s="1" t="s">
        <v>22</v>
      </c>
      <c r="F23" s="1" t="s">
        <v>16</v>
      </c>
      <c r="G23" s="1" t="s">
        <v>29</v>
      </c>
      <c r="H23" s="1" t="s">
        <v>18</v>
      </c>
      <c r="I23" s="1">
        <v>134.66</v>
      </c>
      <c r="J23" s="1">
        <v>4.7</v>
      </c>
      <c r="K23" s="1">
        <v>3.3</v>
      </c>
      <c r="L23" s="1" t="s">
        <v>35</v>
      </c>
      <c r="P23" s="1" t="s">
        <v>42</v>
      </c>
      <c r="Q23" s="1">
        <f t="shared" si="2"/>
        <v>0</v>
      </c>
      <c r="R23" s="1">
        <f t="shared" si="3"/>
        <v>0</v>
      </c>
    </row>
    <row r="24" spans="1:18" x14ac:dyDescent="0.3">
      <c r="A24" s="1">
        <v>23</v>
      </c>
      <c r="B24" s="1" t="s">
        <v>30</v>
      </c>
      <c r="C24" s="1" t="s">
        <v>59</v>
      </c>
      <c r="D24" s="1" t="s">
        <v>54</v>
      </c>
      <c r="E24" s="1" t="s">
        <v>44</v>
      </c>
      <c r="F24" s="1" t="s">
        <v>41</v>
      </c>
      <c r="G24" s="1" t="s">
        <v>29</v>
      </c>
      <c r="H24" s="1" t="s">
        <v>18</v>
      </c>
      <c r="I24" s="1">
        <v>143.47999999999999</v>
      </c>
      <c r="J24" s="1">
        <v>6.5</v>
      </c>
      <c r="K24" s="1">
        <v>4.5</v>
      </c>
      <c r="L24" s="1" t="s">
        <v>51</v>
      </c>
      <c r="P24" s="1" t="s">
        <v>37</v>
      </c>
      <c r="Q24" s="1">
        <f t="shared" si="2"/>
        <v>0</v>
      </c>
      <c r="R24" s="1">
        <f t="shared" si="3"/>
        <v>0</v>
      </c>
    </row>
    <row r="25" spans="1:18" x14ac:dyDescent="0.3">
      <c r="A25" s="1">
        <v>24</v>
      </c>
      <c r="B25" s="1" t="s">
        <v>36</v>
      </c>
      <c r="C25" s="1" t="s">
        <v>37</v>
      </c>
      <c r="D25" s="1" t="s">
        <v>40</v>
      </c>
      <c r="E25" s="1" t="s">
        <v>44</v>
      </c>
      <c r="F25" s="1" t="s">
        <v>41</v>
      </c>
      <c r="G25" s="1" t="s">
        <v>29</v>
      </c>
      <c r="H25" s="1" t="s">
        <v>25</v>
      </c>
      <c r="I25" s="1">
        <v>359.6</v>
      </c>
      <c r="J25" s="1">
        <v>5.0999999999999996</v>
      </c>
      <c r="K25" s="1">
        <v>2.9</v>
      </c>
      <c r="L25" s="1" t="s">
        <v>35</v>
      </c>
    </row>
    <row r="26" spans="1:18" x14ac:dyDescent="0.3">
      <c r="A26" s="1">
        <v>25</v>
      </c>
      <c r="B26" s="1" t="s">
        <v>30</v>
      </c>
      <c r="C26" s="1" t="s">
        <v>56</v>
      </c>
      <c r="D26" s="1" t="s">
        <v>14</v>
      </c>
      <c r="E26" s="1" t="s">
        <v>32</v>
      </c>
      <c r="F26" s="1" t="s">
        <v>23</v>
      </c>
      <c r="G26" s="1" t="s">
        <v>24</v>
      </c>
      <c r="H26" s="1" t="s">
        <v>18</v>
      </c>
      <c r="I26" s="1">
        <v>657.77</v>
      </c>
      <c r="J26" s="1">
        <v>4.8</v>
      </c>
      <c r="K26" s="1">
        <v>4.4000000000000004</v>
      </c>
      <c r="L26" s="1" t="s">
        <v>51</v>
      </c>
    </row>
    <row r="27" spans="1:18" x14ac:dyDescent="0.3">
      <c r="A27" s="1">
        <v>26</v>
      </c>
      <c r="B27" s="1" t="s">
        <v>36</v>
      </c>
      <c r="C27" s="1" t="s">
        <v>42</v>
      </c>
      <c r="D27" s="1" t="s">
        <v>43</v>
      </c>
      <c r="E27" s="1" t="s">
        <v>15</v>
      </c>
      <c r="F27" s="1" t="s">
        <v>23</v>
      </c>
      <c r="G27" s="1" t="s">
        <v>17</v>
      </c>
      <c r="H27" s="1" t="s">
        <v>25</v>
      </c>
      <c r="I27" s="1">
        <v>628.75</v>
      </c>
      <c r="J27" s="1">
        <v>9.3000000000000007</v>
      </c>
      <c r="K27" s="1">
        <v>2.9</v>
      </c>
      <c r="L27" s="1" t="s">
        <v>51</v>
      </c>
    </row>
    <row r="28" spans="1:18" x14ac:dyDescent="0.3">
      <c r="A28" s="1">
        <v>27</v>
      </c>
      <c r="B28" s="1" t="s">
        <v>60</v>
      </c>
      <c r="C28" s="1" t="s">
        <v>45</v>
      </c>
      <c r="D28" s="1" t="s">
        <v>46</v>
      </c>
      <c r="E28" s="1" t="s">
        <v>15</v>
      </c>
      <c r="F28" s="1" t="s">
        <v>47</v>
      </c>
      <c r="G28" s="1" t="s">
        <v>24</v>
      </c>
      <c r="H28" s="1" t="s">
        <v>34</v>
      </c>
      <c r="I28" s="1">
        <v>146.36000000000001</v>
      </c>
      <c r="J28" s="1">
        <v>2.6</v>
      </c>
      <c r="K28" s="1">
        <v>3.6</v>
      </c>
      <c r="L28" s="1" t="s">
        <v>35</v>
      </c>
    </row>
    <row r="29" spans="1:18" x14ac:dyDescent="0.3">
      <c r="A29" s="1">
        <v>28</v>
      </c>
      <c r="B29" s="1" t="s">
        <v>12</v>
      </c>
      <c r="C29" s="1" t="s">
        <v>37</v>
      </c>
      <c r="D29" s="1" t="s">
        <v>39</v>
      </c>
      <c r="E29" s="1" t="s">
        <v>55</v>
      </c>
      <c r="F29" s="1" t="s">
        <v>41</v>
      </c>
      <c r="G29" s="1" t="s">
        <v>24</v>
      </c>
      <c r="H29" s="1" t="s">
        <v>25</v>
      </c>
      <c r="I29" s="1">
        <v>742.55</v>
      </c>
      <c r="J29" s="1">
        <v>9.5</v>
      </c>
      <c r="K29" s="1">
        <v>3.8</v>
      </c>
      <c r="L29" s="1" t="s">
        <v>19</v>
      </c>
    </row>
    <row r="30" spans="1:18" x14ac:dyDescent="0.3">
      <c r="A30" s="1">
        <v>29</v>
      </c>
      <c r="B30" s="1" t="s">
        <v>58</v>
      </c>
      <c r="C30" s="1" t="s">
        <v>56</v>
      </c>
      <c r="D30" s="1" t="s">
        <v>39</v>
      </c>
      <c r="E30" s="1" t="s">
        <v>32</v>
      </c>
      <c r="F30" s="1" t="s">
        <v>16</v>
      </c>
      <c r="G30" s="1" t="s">
        <v>29</v>
      </c>
      <c r="H30" s="1" t="s">
        <v>25</v>
      </c>
      <c r="I30" s="1">
        <v>269.24</v>
      </c>
      <c r="J30" s="1">
        <v>1.3</v>
      </c>
      <c r="K30" s="1">
        <v>3.5</v>
      </c>
      <c r="L30" s="1" t="s">
        <v>48</v>
      </c>
    </row>
    <row r="31" spans="1:18" x14ac:dyDescent="0.3">
      <c r="A31" s="1">
        <v>30</v>
      </c>
      <c r="B31" s="1" t="s">
        <v>36</v>
      </c>
      <c r="C31" s="1" t="s">
        <v>59</v>
      </c>
      <c r="D31" s="1" t="s">
        <v>39</v>
      </c>
      <c r="E31" s="1" t="s">
        <v>61</v>
      </c>
      <c r="F31" s="1" t="s">
        <v>16</v>
      </c>
      <c r="G31" s="1" t="s">
        <v>24</v>
      </c>
      <c r="H31" s="1" t="s">
        <v>18</v>
      </c>
      <c r="I31" s="1">
        <v>737.02</v>
      </c>
      <c r="J31" s="1">
        <v>7.7</v>
      </c>
      <c r="K31" s="1">
        <v>3.5</v>
      </c>
      <c r="L31" s="1" t="s">
        <v>35</v>
      </c>
    </row>
    <row r="32" spans="1:18" x14ac:dyDescent="0.3">
      <c r="A32" s="1">
        <v>31</v>
      </c>
      <c r="B32" s="1" t="s">
        <v>26</v>
      </c>
      <c r="C32" s="1" t="s">
        <v>49</v>
      </c>
      <c r="D32" s="1" t="s">
        <v>54</v>
      </c>
      <c r="E32" s="1" t="s">
        <v>15</v>
      </c>
      <c r="F32" s="1" t="s">
        <v>23</v>
      </c>
      <c r="G32" s="1" t="s">
        <v>24</v>
      </c>
      <c r="H32" s="1" t="s">
        <v>18</v>
      </c>
      <c r="I32" s="1">
        <v>716.93</v>
      </c>
      <c r="J32" s="1">
        <v>8.6</v>
      </c>
      <c r="K32" s="1">
        <v>4.0999999999999996</v>
      </c>
      <c r="L32" s="1" t="s">
        <v>19</v>
      </c>
    </row>
    <row r="33" spans="1:12" x14ac:dyDescent="0.3">
      <c r="A33" s="1">
        <v>32</v>
      </c>
      <c r="B33" s="1" t="s">
        <v>30</v>
      </c>
      <c r="C33" s="1" t="s">
        <v>42</v>
      </c>
      <c r="D33" s="1" t="s">
        <v>39</v>
      </c>
      <c r="E33" s="1" t="s">
        <v>32</v>
      </c>
      <c r="F33" s="1" t="s">
        <v>23</v>
      </c>
      <c r="G33" s="1" t="s">
        <v>24</v>
      </c>
      <c r="H33" s="1" t="s">
        <v>34</v>
      </c>
      <c r="I33" s="1">
        <v>730.08</v>
      </c>
      <c r="J33" s="1">
        <v>6</v>
      </c>
      <c r="K33" s="1">
        <v>3.4</v>
      </c>
      <c r="L33" s="1" t="s">
        <v>51</v>
      </c>
    </row>
    <row r="34" spans="1:12" x14ac:dyDescent="0.3">
      <c r="A34" s="1">
        <v>33</v>
      </c>
      <c r="B34" s="1" t="s">
        <v>30</v>
      </c>
      <c r="C34" s="1" t="s">
        <v>45</v>
      </c>
      <c r="D34" s="1" t="s">
        <v>21</v>
      </c>
      <c r="E34" s="1" t="s">
        <v>28</v>
      </c>
      <c r="F34" s="1" t="s">
        <v>41</v>
      </c>
      <c r="G34" s="1" t="s">
        <v>29</v>
      </c>
      <c r="H34" s="1" t="s">
        <v>18</v>
      </c>
      <c r="I34" s="1">
        <v>380.94</v>
      </c>
      <c r="J34" s="1">
        <v>9</v>
      </c>
      <c r="K34" s="1">
        <v>4.4000000000000004</v>
      </c>
      <c r="L34" s="1" t="s">
        <v>51</v>
      </c>
    </row>
    <row r="35" spans="1:12" x14ac:dyDescent="0.3">
      <c r="A35" s="1">
        <v>34</v>
      </c>
      <c r="B35" s="1" t="s">
        <v>58</v>
      </c>
      <c r="C35" s="1" t="s">
        <v>37</v>
      </c>
      <c r="D35" s="1" t="s">
        <v>21</v>
      </c>
      <c r="E35" s="1" t="s">
        <v>55</v>
      </c>
      <c r="F35" s="1" t="s">
        <v>16</v>
      </c>
      <c r="G35" s="1" t="s">
        <v>24</v>
      </c>
      <c r="H35" s="1" t="s">
        <v>18</v>
      </c>
      <c r="I35" s="1">
        <v>442.34</v>
      </c>
      <c r="J35" s="1">
        <v>8.5</v>
      </c>
      <c r="K35" s="1">
        <v>3</v>
      </c>
      <c r="L35" s="1" t="s">
        <v>51</v>
      </c>
    </row>
    <row r="36" spans="1:12" x14ac:dyDescent="0.3">
      <c r="A36" s="1">
        <v>35</v>
      </c>
      <c r="B36" s="1" t="s">
        <v>30</v>
      </c>
      <c r="C36" s="1" t="s">
        <v>59</v>
      </c>
      <c r="D36" s="1" t="s">
        <v>40</v>
      </c>
      <c r="E36" s="1" t="s">
        <v>44</v>
      </c>
      <c r="F36" s="1" t="s">
        <v>23</v>
      </c>
      <c r="G36" s="1" t="s">
        <v>17</v>
      </c>
      <c r="H36" s="1" t="s">
        <v>34</v>
      </c>
      <c r="I36" s="1">
        <v>658.41</v>
      </c>
      <c r="J36" s="1">
        <v>1.3</v>
      </c>
      <c r="K36" s="1">
        <v>4.0999999999999996</v>
      </c>
      <c r="L36" s="1" t="s">
        <v>48</v>
      </c>
    </row>
    <row r="37" spans="1:12" x14ac:dyDescent="0.3">
      <c r="A37" s="1">
        <v>36</v>
      </c>
      <c r="B37" s="1" t="s">
        <v>36</v>
      </c>
      <c r="C37" s="1" t="s">
        <v>37</v>
      </c>
      <c r="D37" s="1" t="s">
        <v>31</v>
      </c>
      <c r="E37" s="1" t="s">
        <v>15</v>
      </c>
      <c r="F37" s="1" t="s">
        <v>33</v>
      </c>
      <c r="G37" s="1" t="s">
        <v>17</v>
      </c>
      <c r="H37" s="1" t="s">
        <v>18</v>
      </c>
      <c r="I37" s="1">
        <v>441.74</v>
      </c>
      <c r="J37" s="1">
        <v>2.7</v>
      </c>
      <c r="K37" s="1">
        <v>4.8</v>
      </c>
      <c r="L37" s="1" t="s">
        <v>48</v>
      </c>
    </row>
    <row r="38" spans="1:12" x14ac:dyDescent="0.3">
      <c r="A38" s="1">
        <v>37</v>
      </c>
      <c r="B38" s="1" t="s">
        <v>20</v>
      </c>
      <c r="C38" s="1" t="s">
        <v>45</v>
      </c>
      <c r="D38" s="1" t="s">
        <v>43</v>
      </c>
      <c r="E38" s="1" t="s">
        <v>28</v>
      </c>
      <c r="F38" s="1" t="s">
        <v>33</v>
      </c>
      <c r="G38" s="1" t="s">
        <v>24</v>
      </c>
      <c r="H38" s="1" t="s">
        <v>34</v>
      </c>
      <c r="I38" s="1">
        <v>461.34</v>
      </c>
      <c r="J38" s="1">
        <v>3</v>
      </c>
      <c r="K38" s="1">
        <v>2.9</v>
      </c>
      <c r="L38" s="1" t="s">
        <v>48</v>
      </c>
    </row>
    <row r="39" spans="1:12" x14ac:dyDescent="0.3">
      <c r="A39" s="1">
        <v>38</v>
      </c>
      <c r="B39" s="1" t="s">
        <v>36</v>
      </c>
      <c r="C39" s="1" t="s">
        <v>42</v>
      </c>
      <c r="D39" s="1" t="s">
        <v>40</v>
      </c>
      <c r="E39" s="1" t="s">
        <v>32</v>
      </c>
      <c r="F39" s="1" t="s">
        <v>16</v>
      </c>
      <c r="G39" s="1" t="s">
        <v>24</v>
      </c>
      <c r="H39" s="1" t="s">
        <v>34</v>
      </c>
      <c r="I39" s="1">
        <v>338.89</v>
      </c>
      <c r="J39" s="1">
        <v>7.9</v>
      </c>
      <c r="K39" s="1">
        <v>3</v>
      </c>
      <c r="L39" s="1" t="s">
        <v>48</v>
      </c>
    </row>
    <row r="40" spans="1:12" x14ac:dyDescent="0.3">
      <c r="A40" s="1">
        <v>39</v>
      </c>
      <c r="B40" s="1" t="s">
        <v>20</v>
      </c>
      <c r="C40" s="1" t="s">
        <v>45</v>
      </c>
      <c r="D40" s="1" t="s">
        <v>14</v>
      </c>
      <c r="E40" s="1" t="s">
        <v>61</v>
      </c>
      <c r="F40" s="1" t="s">
        <v>47</v>
      </c>
      <c r="G40" s="1" t="s">
        <v>29</v>
      </c>
      <c r="H40" s="1" t="s">
        <v>25</v>
      </c>
      <c r="I40" s="1">
        <v>678.23</v>
      </c>
      <c r="J40" s="1">
        <v>6.6</v>
      </c>
      <c r="K40" s="1">
        <v>4.3</v>
      </c>
      <c r="L40" s="1" t="s">
        <v>35</v>
      </c>
    </row>
    <row r="41" spans="1:12" x14ac:dyDescent="0.3">
      <c r="A41" s="1">
        <v>40</v>
      </c>
      <c r="B41" s="1" t="s">
        <v>20</v>
      </c>
      <c r="C41" s="1" t="s">
        <v>49</v>
      </c>
      <c r="D41" s="1" t="s">
        <v>57</v>
      </c>
      <c r="E41" s="1" t="s">
        <v>61</v>
      </c>
      <c r="F41" s="1" t="s">
        <v>47</v>
      </c>
      <c r="G41" s="1" t="s">
        <v>17</v>
      </c>
      <c r="H41" s="1" t="s">
        <v>18</v>
      </c>
      <c r="I41" s="1">
        <v>645.24</v>
      </c>
      <c r="J41" s="1">
        <v>8</v>
      </c>
      <c r="K41" s="1">
        <v>4.7</v>
      </c>
      <c r="L41" s="1" t="s">
        <v>48</v>
      </c>
    </row>
    <row r="42" spans="1:12" x14ac:dyDescent="0.3">
      <c r="A42" s="1">
        <v>41</v>
      </c>
      <c r="B42" s="1" t="s">
        <v>52</v>
      </c>
      <c r="C42" s="1" t="s">
        <v>53</v>
      </c>
      <c r="D42" s="1" t="s">
        <v>43</v>
      </c>
      <c r="E42" s="1" t="s">
        <v>44</v>
      </c>
      <c r="F42" s="1" t="s">
        <v>16</v>
      </c>
      <c r="G42" s="1" t="s">
        <v>24</v>
      </c>
      <c r="H42" s="1" t="s">
        <v>34</v>
      </c>
      <c r="I42" s="1">
        <v>384.3</v>
      </c>
      <c r="J42" s="1">
        <v>4.9000000000000004</v>
      </c>
      <c r="K42" s="1">
        <v>3.5</v>
      </c>
      <c r="L42" s="1" t="s">
        <v>51</v>
      </c>
    </row>
    <row r="43" spans="1:12" x14ac:dyDescent="0.3">
      <c r="A43" s="1">
        <v>42</v>
      </c>
      <c r="B43" s="1" t="s">
        <v>30</v>
      </c>
      <c r="C43" s="1" t="s">
        <v>59</v>
      </c>
      <c r="D43" s="1" t="s">
        <v>40</v>
      </c>
      <c r="E43" s="1" t="s">
        <v>28</v>
      </c>
      <c r="F43" s="1" t="s">
        <v>47</v>
      </c>
      <c r="G43" s="1" t="s">
        <v>17</v>
      </c>
      <c r="H43" s="1" t="s">
        <v>34</v>
      </c>
      <c r="I43" s="1">
        <v>248</v>
      </c>
      <c r="J43" s="1">
        <v>8.6</v>
      </c>
      <c r="K43" s="1">
        <v>2.8</v>
      </c>
      <c r="L43" s="1" t="s">
        <v>48</v>
      </c>
    </row>
    <row r="44" spans="1:12" x14ac:dyDescent="0.3">
      <c r="A44" s="1">
        <v>43</v>
      </c>
      <c r="B44" s="1" t="s">
        <v>52</v>
      </c>
      <c r="C44" s="1" t="s">
        <v>49</v>
      </c>
      <c r="D44" s="1" t="s">
        <v>31</v>
      </c>
      <c r="E44" s="1" t="s">
        <v>22</v>
      </c>
      <c r="F44" s="1" t="s">
        <v>23</v>
      </c>
      <c r="G44" s="1" t="s">
        <v>17</v>
      </c>
      <c r="H44" s="1" t="s">
        <v>25</v>
      </c>
      <c r="I44" s="1">
        <v>399.37</v>
      </c>
      <c r="J44" s="1">
        <v>9.1999999999999993</v>
      </c>
      <c r="K44" s="1">
        <v>3.8</v>
      </c>
      <c r="L44" s="1" t="s">
        <v>48</v>
      </c>
    </row>
    <row r="45" spans="1:12" x14ac:dyDescent="0.3">
      <c r="A45" s="1">
        <v>44</v>
      </c>
      <c r="B45" s="1" t="s">
        <v>20</v>
      </c>
      <c r="C45" s="1" t="s">
        <v>42</v>
      </c>
      <c r="D45" s="1" t="s">
        <v>54</v>
      </c>
      <c r="E45" s="1" t="s">
        <v>32</v>
      </c>
      <c r="F45" s="1" t="s">
        <v>16</v>
      </c>
      <c r="G45" s="1" t="s">
        <v>17</v>
      </c>
      <c r="H45" s="1" t="s">
        <v>34</v>
      </c>
      <c r="I45" s="1">
        <v>233.34</v>
      </c>
      <c r="J45" s="1">
        <v>3</v>
      </c>
      <c r="K45" s="1">
        <v>4.4000000000000004</v>
      </c>
      <c r="L45" s="1" t="s">
        <v>19</v>
      </c>
    </row>
    <row r="46" spans="1:12" x14ac:dyDescent="0.3">
      <c r="A46" s="1">
        <v>45</v>
      </c>
      <c r="B46" s="1" t="s">
        <v>62</v>
      </c>
      <c r="C46" s="1" t="s">
        <v>49</v>
      </c>
      <c r="D46" s="1" t="s">
        <v>31</v>
      </c>
      <c r="E46" s="1" t="s">
        <v>55</v>
      </c>
      <c r="F46" s="1" t="s">
        <v>23</v>
      </c>
      <c r="G46" s="1" t="s">
        <v>17</v>
      </c>
      <c r="H46" s="1" t="s">
        <v>25</v>
      </c>
      <c r="I46" s="1">
        <v>710.14</v>
      </c>
      <c r="J46" s="1">
        <v>4</v>
      </c>
      <c r="K46" s="1">
        <v>4.5</v>
      </c>
      <c r="L46" s="1" t="s">
        <v>35</v>
      </c>
    </row>
    <row r="47" spans="1:12" x14ac:dyDescent="0.3">
      <c r="A47" s="1">
        <v>46</v>
      </c>
      <c r="B47" s="1" t="s">
        <v>26</v>
      </c>
      <c r="C47" s="1" t="s">
        <v>42</v>
      </c>
      <c r="D47" s="1" t="s">
        <v>40</v>
      </c>
      <c r="E47" s="1" t="s">
        <v>22</v>
      </c>
      <c r="F47" s="1" t="s">
        <v>16</v>
      </c>
      <c r="G47" s="1" t="s">
        <v>29</v>
      </c>
      <c r="H47" s="1" t="s">
        <v>18</v>
      </c>
      <c r="I47" s="1">
        <v>328.83</v>
      </c>
      <c r="J47" s="1">
        <v>7</v>
      </c>
      <c r="K47" s="1">
        <v>4.5999999999999996</v>
      </c>
      <c r="L47" s="1" t="s">
        <v>19</v>
      </c>
    </row>
    <row r="48" spans="1:12" x14ac:dyDescent="0.3">
      <c r="A48" s="1">
        <v>47</v>
      </c>
      <c r="B48" s="1" t="s">
        <v>20</v>
      </c>
      <c r="C48" s="1" t="s">
        <v>37</v>
      </c>
      <c r="D48" s="1" t="s">
        <v>46</v>
      </c>
      <c r="E48" s="1" t="s">
        <v>44</v>
      </c>
      <c r="F48" s="1" t="s">
        <v>47</v>
      </c>
      <c r="G48" s="1" t="s">
        <v>29</v>
      </c>
      <c r="H48" s="1" t="s">
        <v>34</v>
      </c>
      <c r="I48" s="1">
        <v>530.44000000000005</v>
      </c>
      <c r="J48" s="1">
        <v>3.7</v>
      </c>
      <c r="K48" s="1">
        <v>3.3</v>
      </c>
      <c r="L48" s="1" t="s">
        <v>48</v>
      </c>
    </row>
    <row r="49" spans="1:12" x14ac:dyDescent="0.3">
      <c r="A49" s="1">
        <v>48</v>
      </c>
      <c r="B49" s="1" t="s">
        <v>52</v>
      </c>
      <c r="C49" s="1" t="s">
        <v>49</v>
      </c>
      <c r="D49" s="1" t="s">
        <v>14</v>
      </c>
      <c r="E49" s="1" t="s">
        <v>28</v>
      </c>
      <c r="F49" s="1" t="s">
        <v>23</v>
      </c>
      <c r="G49" s="1" t="s">
        <v>24</v>
      </c>
      <c r="H49" s="1" t="s">
        <v>25</v>
      </c>
      <c r="I49" s="1">
        <v>118.72</v>
      </c>
      <c r="J49" s="1">
        <v>9.3000000000000007</v>
      </c>
      <c r="K49" s="1">
        <v>2.8</v>
      </c>
      <c r="L49" s="1" t="s">
        <v>51</v>
      </c>
    </row>
    <row r="50" spans="1:12" x14ac:dyDescent="0.3">
      <c r="A50" s="1">
        <v>49</v>
      </c>
      <c r="B50" s="1" t="s">
        <v>62</v>
      </c>
      <c r="C50" s="1" t="s">
        <v>13</v>
      </c>
      <c r="D50" s="1" t="s">
        <v>14</v>
      </c>
      <c r="E50" s="1" t="s">
        <v>44</v>
      </c>
      <c r="F50" s="1" t="s">
        <v>41</v>
      </c>
      <c r="G50" s="1" t="s">
        <v>17</v>
      </c>
      <c r="H50" s="1" t="s">
        <v>25</v>
      </c>
      <c r="I50" s="1">
        <v>77.510000000000005</v>
      </c>
      <c r="J50" s="1">
        <v>6.9</v>
      </c>
      <c r="K50" s="1">
        <v>3.4</v>
      </c>
      <c r="L50" s="1" t="s">
        <v>19</v>
      </c>
    </row>
    <row r="51" spans="1:12" x14ac:dyDescent="0.3">
      <c r="A51" s="1">
        <v>50</v>
      </c>
      <c r="B51" s="1" t="s">
        <v>62</v>
      </c>
      <c r="C51" s="1" t="s">
        <v>63</v>
      </c>
      <c r="D51" s="1" t="s">
        <v>31</v>
      </c>
      <c r="E51" s="1" t="s">
        <v>32</v>
      </c>
      <c r="F51" s="1" t="s">
        <v>23</v>
      </c>
      <c r="G51" s="1" t="s">
        <v>29</v>
      </c>
      <c r="H51" s="1" t="s">
        <v>25</v>
      </c>
      <c r="I51" s="1">
        <v>414.74</v>
      </c>
      <c r="J51" s="1">
        <v>9.4</v>
      </c>
      <c r="K51" s="1">
        <v>3</v>
      </c>
      <c r="L51" s="1" t="s">
        <v>19</v>
      </c>
    </row>
    <row r="52" spans="1:12" x14ac:dyDescent="0.3">
      <c r="A52" s="1">
        <v>51</v>
      </c>
      <c r="B52" s="1" t="s">
        <v>52</v>
      </c>
      <c r="C52" s="1" t="s">
        <v>13</v>
      </c>
      <c r="D52" s="1" t="s">
        <v>39</v>
      </c>
      <c r="E52" s="1" t="s">
        <v>61</v>
      </c>
      <c r="F52" s="1" t="s">
        <v>41</v>
      </c>
      <c r="G52" s="1" t="s">
        <v>29</v>
      </c>
      <c r="H52" s="1" t="s">
        <v>34</v>
      </c>
      <c r="I52" s="1">
        <v>318.42</v>
      </c>
      <c r="J52" s="1">
        <v>9.4</v>
      </c>
      <c r="K52" s="1">
        <v>4.7</v>
      </c>
      <c r="L52" s="1" t="s">
        <v>35</v>
      </c>
    </row>
    <row r="53" spans="1:12" x14ac:dyDescent="0.3">
      <c r="A53" s="1">
        <v>52</v>
      </c>
      <c r="B53" s="1" t="s">
        <v>26</v>
      </c>
      <c r="C53" s="1" t="s">
        <v>59</v>
      </c>
      <c r="D53" s="1" t="s">
        <v>54</v>
      </c>
      <c r="E53" s="1" t="s">
        <v>22</v>
      </c>
      <c r="F53" s="1" t="s">
        <v>33</v>
      </c>
      <c r="G53" s="1" t="s">
        <v>29</v>
      </c>
      <c r="H53" s="1" t="s">
        <v>18</v>
      </c>
      <c r="I53" s="1">
        <v>632.30999999999995</v>
      </c>
      <c r="J53" s="1">
        <v>8.4</v>
      </c>
      <c r="K53" s="1">
        <v>4.7</v>
      </c>
      <c r="L53" s="1" t="s">
        <v>19</v>
      </c>
    </row>
    <row r="54" spans="1:12" x14ac:dyDescent="0.3">
      <c r="A54" s="1">
        <v>53</v>
      </c>
      <c r="B54" s="1" t="s">
        <v>62</v>
      </c>
      <c r="C54" s="1" t="s">
        <v>45</v>
      </c>
      <c r="D54" s="1" t="s">
        <v>31</v>
      </c>
      <c r="E54" s="1" t="s">
        <v>55</v>
      </c>
      <c r="F54" s="1" t="s">
        <v>47</v>
      </c>
      <c r="G54" s="1" t="s">
        <v>24</v>
      </c>
      <c r="H54" s="1" t="s">
        <v>18</v>
      </c>
      <c r="I54" s="1">
        <v>239.64</v>
      </c>
      <c r="J54" s="1">
        <v>2.4</v>
      </c>
      <c r="K54" s="1">
        <v>3</v>
      </c>
      <c r="L54" s="1" t="s">
        <v>19</v>
      </c>
    </row>
    <row r="55" spans="1:12" x14ac:dyDescent="0.3">
      <c r="A55" s="1">
        <v>54</v>
      </c>
      <c r="B55" s="1" t="s">
        <v>58</v>
      </c>
      <c r="C55" s="1" t="s">
        <v>27</v>
      </c>
      <c r="D55" s="1" t="s">
        <v>39</v>
      </c>
      <c r="E55" s="1" t="s">
        <v>55</v>
      </c>
      <c r="F55" s="1" t="s">
        <v>33</v>
      </c>
      <c r="G55" s="1" t="s">
        <v>24</v>
      </c>
      <c r="H55" s="1" t="s">
        <v>34</v>
      </c>
      <c r="I55" s="1">
        <v>788.03</v>
      </c>
      <c r="J55" s="1">
        <v>6.1</v>
      </c>
      <c r="K55" s="1">
        <v>3.2</v>
      </c>
      <c r="L55" s="1" t="s">
        <v>51</v>
      </c>
    </row>
    <row r="56" spans="1:12" x14ac:dyDescent="0.3">
      <c r="A56" s="1">
        <v>55</v>
      </c>
      <c r="B56" s="1" t="s">
        <v>30</v>
      </c>
      <c r="C56" s="1" t="s">
        <v>42</v>
      </c>
      <c r="D56" s="1" t="s">
        <v>39</v>
      </c>
      <c r="E56" s="1" t="s">
        <v>55</v>
      </c>
      <c r="F56" s="1" t="s">
        <v>47</v>
      </c>
      <c r="G56" s="1" t="s">
        <v>24</v>
      </c>
      <c r="H56" s="1" t="s">
        <v>18</v>
      </c>
      <c r="I56" s="1">
        <v>100.02</v>
      </c>
      <c r="J56" s="1">
        <v>3.1</v>
      </c>
      <c r="K56" s="1">
        <v>4.4000000000000004</v>
      </c>
      <c r="L56" s="1" t="s">
        <v>35</v>
      </c>
    </row>
    <row r="57" spans="1:12" x14ac:dyDescent="0.3">
      <c r="A57" s="1">
        <v>56</v>
      </c>
      <c r="B57" s="1" t="s">
        <v>58</v>
      </c>
      <c r="C57" s="1" t="s">
        <v>63</v>
      </c>
      <c r="D57" s="1" t="s">
        <v>54</v>
      </c>
      <c r="E57" s="1" t="s">
        <v>44</v>
      </c>
      <c r="F57" s="1" t="s">
        <v>33</v>
      </c>
      <c r="G57" s="1" t="s">
        <v>24</v>
      </c>
      <c r="H57" s="1" t="s">
        <v>25</v>
      </c>
      <c r="I57" s="1">
        <v>342.14</v>
      </c>
      <c r="J57" s="1">
        <v>5.2</v>
      </c>
      <c r="K57" s="1">
        <v>2.8</v>
      </c>
      <c r="L57" s="1" t="s">
        <v>35</v>
      </c>
    </row>
    <row r="58" spans="1:12" x14ac:dyDescent="0.3">
      <c r="A58" s="1">
        <v>57</v>
      </c>
      <c r="B58" s="1" t="s">
        <v>38</v>
      </c>
      <c r="C58" s="1" t="s">
        <v>27</v>
      </c>
      <c r="D58" s="1" t="s">
        <v>39</v>
      </c>
      <c r="E58" s="1" t="s">
        <v>22</v>
      </c>
      <c r="F58" s="1" t="s">
        <v>23</v>
      </c>
      <c r="G58" s="1" t="s">
        <v>17</v>
      </c>
      <c r="H58" s="1" t="s">
        <v>25</v>
      </c>
      <c r="I58" s="1">
        <v>747.33</v>
      </c>
      <c r="J58" s="1">
        <v>1.8</v>
      </c>
      <c r="K58" s="1">
        <v>5</v>
      </c>
      <c r="L58" s="1" t="s">
        <v>19</v>
      </c>
    </row>
    <row r="59" spans="1:12" x14ac:dyDescent="0.3">
      <c r="A59" s="1">
        <v>58</v>
      </c>
      <c r="B59" s="1" t="s">
        <v>58</v>
      </c>
      <c r="C59" s="1" t="s">
        <v>56</v>
      </c>
      <c r="D59" s="1" t="s">
        <v>50</v>
      </c>
      <c r="E59" s="1" t="s">
        <v>44</v>
      </c>
      <c r="F59" s="1" t="s">
        <v>16</v>
      </c>
      <c r="G59" s="1" t="s">
        <v>29</v>
      </c>
      <c r="H59" s="1" t="s">
        <v>34</v>
      </c>
      <c r="I59" s="1">
        <v>106.07</v>
      </c>
      <c r="J59" s="1">
        <v>3.7</v>
      </c>
      <c r="K59" s="1">
        <v>4.0999999999999996</v>
      </c>
      <c r="L59" s="1" t="s">
        <v>19</v>
      </c>
    </row>
    <row r="60" spans="1:12" x14ac:dyDescent="0.3">
      <c r="A60" s="1">
        <v>59</v>
      </c>
      <c r="B60" s="1" t="s">
        <v>30</v>
      </c>
      <c r="C60" s="1" t="s">
        <v>53</v>
      </c>
      <c r="D60" s="1" t="s">
        <v>54</v>
      </c>
      <c r="E60" s="1" t="s">
        <v>15</v>
      </c>
      <c r="F60" s="1" t="s">
        <v>47</v>
      </c>
      <c r="G60" s="1" t="s">
        <v>24</v>
      </c>
      <c r="H60" s="1" t="s">
        <v>34</v>
      </c>
      <c r="I60" s="1">
        <v>316.58</v>
      </c>
      <c r="J60" s="1">
        <v>4.9000000000000004</v>
      </c>
      <c r="K60" s="1">
        <v>2.6</v>
      </c>
      <c r="L60" s="1" t="s">
        <v>19</v>
      </c>
    </row>
    <row r="61" spans="1:12" x14ac:dyDescent="0.3">
      <c r="A61" s="1">
        <v>60</v>
      </c>
      <c r="B61" s="1" t="s">
        <v>52</v>
      </c>
      <c r="C61" s="1" t="s">
        <v>56</v>
      </c>
      <c r="D61" s="1" t="s">
        <v>50</v>
      </c>
      <c r="E61" s="1" t="s">
        <v>32</v>
      </c>
      <c r="F61" s="1" t="s">
        <v>23</v>
      </c>
      <c r="G61" s="1" t="s">
        <v>29</v>
      </c>
      <c r="H61" s="1" t="s">
        <v>25</v>
      </c>
      <c r="I61" s="1">
        <v>63.68</v>
      </c>
      <c r="J61" s="1">
        <v>9.6999999999999993</v>
      </c>
      <c r="K61" s="1">
        <v>4.4000000000000004</v>
      </c>
      <c r="L61" s="1" t="s">
        <v>19</v>
      </c>
    </row>
    <row r="62" spans="1:12" x14ac:dyDescent="0.3">
      <c r="A62" s="1">
        <v>61</v>
      </c>
      <c r="B62" s="1" t="s">
        <v>36</v>
      </c>
      <c r="C62" s="1" t="s">
        <v>37</v>
      </c>
      <c r="D62" s="1" t="s">
        <v>21</v>
      </c>
      <c r="E62" s="1" t="s">
        <v>32</v>
      </c>
      <c r="F62" s="1" t="s">
        <v>23</v>
      </c>
      <c r="G62" s="1" t="s">
        <v>29</v>
      </c>
      <c r="H62" s="1" t="s">
        <v>18</v>
      </c>
      <c r="I62" s="1">
        <v>350.2</v>
      </c>
      <c r="J62" s="1">
        <v>7.8</v>
      </c>
      <c r="K62" s="1">
        <v>3.8</v>
      </c>
      <c r="L62" s="1" t="s">
        <v>35</v>
      </c>
    </row>
    <row r="63" spans="1:12" x14ac:dyDescent="0.3">
      <c r="A63" s="1">
        <v>62</v>
      </c>
      <c r="B63" s="1" t="s">
        <v>26</v>
      </c>
      <c r="C63" s="1" t="s">
        <v>37</v>
      </c>
      <c r="D63" s="1" t="s">
        <v>40</v>
      </c>
      <c r="E63" s="1" t="s">
        <v>15</v>
      </c>
      <c r="F63" s="1" t="s">
        <v>23</v>
      </c>
      <c r="G63" s="1" t="s">
        <v>29</v>
      </c>
      <c r="H63" s="1" t="s">
        <v>25</v>
      </c>
      <c r="I63" s="1">
        <v>389.24</v>
      </c>
      <c r="J63" s="1">
        <v>6.4</v>
      </c>
      <c r="K63" s="1">
        <v>4.7</v>
      </c>
      <c r="L63" s="1" t="s">
        <v>35</v>
      </c>
    </row>
    <row r="64" spans="1:12" x14ac:dyDescent="0.3">
      <c r="A64" s="1">
        <v>63</v>
      </c>
      <c r="B64" s="1" t="s">
        <v>58</v>
      </c>
      <c r="C64" s="1" t="s">
        <v>53</v>
      </c>
      <c r="D64" s="1" t="s">
        <v>39</v>
      </c>
      <c r="E64" s="1" t="s">
        <v>55</v>
      </c>
      <c r="F64" s="1" t="s">
        <v>41</v>
      </c>
      <c r="G64" s="1" t="s">
        <v>17</v>
      </c>
      <c r="H64" s="1" t="s">
        <v>18</v>
      </c>
      <c r="I64" s="1">
        <v>79.86</v>
      </c>
      <c r="J64" s="1">
        <v>2.6</v>
      </c>
      <c r="K64" s="1">
        <v>4.5</v>
      </c>
      <c r="L64" s="1" t="s">
        <v>51</v>
      </c>
    </row>
    <row r="65" spans="1:12" x14ac:dyDescent="0.3">
      <c r="A65" s="1">
        <v>64</v>
      </c>
      <c r="B65" s="1" t="s">
        <v>62</v>
      </c>
      <c r="C65" s="1" t="s">
        <v>63</v>
      </c>
      <c r="D65" s="1" t="s">
        <v>21</v>
      </c>
      <c r="E65" s="1" t="s">
        <v>61</v>
      </c>
      <c r="F65" s="1" t="s">
        <v>16</v>
      </c>
      <c r="G65" s="1" t="s">
        <v>29</v>
      </c>
      <c r="H65" s="1" t="s">
        <v>34</v>
      </c>
      <c r="I65" s="1">
        <v>385.11</v>
      </c>
      <c r="J65" s="1">
        <v>3.2</v>
      </c>
      <c r="K65" s="1">
        <v>2.6</v>
      </c>
      <c r="L65" s="1" t="s">
        <v>51</v>
      </c>
    </row>
    <row r="66" spans="1:12" x14ac:dyDescent="0.3">
      <c r="A66" s="1">
        <v>65</v>
      </c>
      <c r="B66" s="1" t="s">
        <v>58</v>
      </c>
      <c r="C66" s="1" t="s">
        <v>56</v>
      </c>
      <c r="D66" s="1" t="s">
        <v>43</v>
      </c>
      <c r="E66" s="1" t="s">
        <v>22</v>
      </c>
      <c r="F66" s="1" t="s">
        <v>33</v>
      </c>
      <c r="G66" s="1" t="s">
        <v>29</v>
      </c>
      <c r="H66" s="1" t="s">
        <v>34</v>
      </c>
      <c r="I66" s="1">
        <v>634.77</v>
      </c>
      <c r="J66" s="1">
        <v>2.6</v>
      </c>
      <c r="K66" s="1">
        <v>4.8</v>
      </c>
      <c r="L66" s="1" t="s">
        <v>51</v>
      </c>
    </row>
    <row r="67" spans="1:12" x14ac:dyDescent="0.3">
      <c r="A67" s="1">
        <v>66</v>
      </c>
      <c r="B67" s="1" t="s">
        <v>36</v>
      </c>
      <c r="C67" s="1" t="s">
        <v>63</v>
      </c>
      <c r="D67" s="1" t="s">
        <v>57</v>
      </c>
      <c r="E67" s="1" t="s">
        <v>44</v>
      </c>
      <c r="F67" s="1" t="s">
        <v>23</v>
      </c>
      <c r="G67" s="1" t="s">
        <v>17</v>
      </c>
      <c r="H67" s="1" t="s">
        <v>18</v>
      </c>
      <c r="I67" s="1">
        <v>447.81</v>
      </c>
      <c r="J67" s="1">
        <v>4.3</v>
      </c>
      <c r="K67" s="1">
        <v>3.9</v>
      </c>
      <c r="L67" s="1" t="s">
        <v>35</v>
      </c>
    </row>
    <row r="68" spans="1:12" x14ac:dyDescent="0.3">
      <c r="A68" s="1">
        <v>67</v>
      </c>
      <c r="B68" s="1" t="s">
        <v>30</v>
      </c>
      <c r="C68" s="1" t="s">
        <v>56</v>
      </c>
      <c r="D68" s="1" t="s">
        <v>57</v>
      </c>
      <c r="E68" s="1" t="s">
        <v>61</v>
      </c>
      <c r="F68" s="1" t="s">
        <v>16</v>
      </c>
      <c r="G68" s="1" t="s">
        <v>24</v>
      </c>
      <c r="H68" s="1" t="s">
        <v>25</v>
      </c>
      <c r="I68" s="1">
        <v>365.88</v>
      </c>
      <c r="J68" s="1">
        <v>9</v>
      </c>
      <c r="K68" s="1">
        <v>4</v>
      </c>
      <c r="L68" s="1" t="s">
        <v>19</v>
      </c>
    </row>
    <row r="69" spans="1:12" x14ac:dyDescent="0.3">
      <c r="A69" s="1">
        <v>68</v>
      </c>
      <c r="B69" s="1" t="s">
        <v>52</v>
      </c>
      <c r="C69" s="1" t="s">
        <v>13</v>
      </c>
      <c r="D69" s="1" t="s">
        <v>54</v>
      </c>
      <c r="E69" s="1" t="s">
        <v>28</v>
      </c>
      <c r="F69" s="1" t="s">
        <v>23</v>
      </c>
      <c r="G69" s="1" t="s">
        <v>24</v>
      </c>
      <c r="H69" s="1" t="s">
        <v>18</v>
      </c>
      <c r="I69" s="1">
        <v>739.46</v>
      </c>
      <c r="J69" s="1">
        <v>1.3</v>
      </c>
      <c r="K69" s="1">
        <v>2.8</v>
      </c>
      <c r="L69" s="1" t="s">
        <v>35</v>
      </c>
    </row>
    <row r="70" spans="1:12" x14ac:dyDescent="0.3">
      <c r="A70" s="1">
        <v>69</v>
      </c>
      <c r="B70" s="1" t="s">
        <v>38</v>
      </c>
      <c r="C70" s="1" t="s">
        <v>59</v>
      </c>
      <c r="D70" s="1" t="s">
        <v>43</v>
      </c>
      <c r="E70" s="1" t="s">
        <v>61</v>
      </c>
      <c r="F70" s="1" t="s">
        <v>41</v>
      </c>
      <c r="G70" s="1" t="s">
        <v>17</v>
      </c>
      <c r="H70" s="1" t="s">
        <v>25</v>
      </c>
      <c r="I70" s="1">
        <v>632.49</v>
      </c>
      <c r="J70" s="1">
        <v>8.3000000000000007</v>
      </c>
      <c r="K70" s="1">
        <v>3.9</v>
      </c>
      <c r="L70" s="1" t="s">
        <v>35</v>
      </c>
    </row>
    <row r="71" spans="1:12" x14ac:dyDescent="0.3">
      <c r="A71" s="1">
        <v>70</v>
      </c>
      <c r="B71" s="1" t="s">
        <v>36</v>
      </c>
      <c r="C71" s="1" t="s">
        <v>45</v>
      </c>
      <c r="D71" s="1" t="s">
        <v>43</v>
      </c>
      <c r="E71" s="1" t="s">
        <v>32</v>
      </c>
      <c r="F71" s="1" t="s">
        <v>33</v>
      </c>
      <c r="G71" s="1" t="s">
        <v>17</v>
      </c>
      <c r="H71" s="1" t="s">
        <v>25</v>
      </c>
      <c r="I71" s="1">
        <v>487.93</v>
      </c>
      <c r="J71" s="1">
        <v>9.8000000000000007</v>
      </c>
      <c r="K71" s="1">
        <v>3.5</v>
      </c>
      <c r="L71" s="1" t="s">
        <v>19</v>
      </c>
    </row>
    <row r="72" spans="1:12" x14ac:dyDescent="0.3">
      <c r="A72" s="1">
        <v>71</v>
      </c>
      <c r="B72" s="1" t="s">
        <v>36</v>
      </c>
      <c r="C72" s="1" t="s">
        <v>63</v>
      </c>
      <c r="D72" s="1" t="s">
        <v>43</v>
      </c>
      <c r="E72" s="1" t="s">
        <v>22</v>
      </c>
      <c r="F72" s="1" t="s">
        <v>41</v>
      </c>
      <c r="G72" s="1" t="s">
        <v>24</v>
      </c>
      <c r="H72" s="1" t="s">
        <v>34</v>
      </c>
      <c r="I72" s="1">
        <v>690.95</v>
      </c>
      <c r="J72" s="1">
        <v>7.3</v>
      </c>
      <c r="K72" s="1">
        <v>4</v>
      </c>
      <c r="L72" s="1" t="s">
        <v>19</v>
      </c>
    </row>
    <row r="73" spans="1:12" x14ac:dyDescent="0.3">
      <c r="A73" s="1">
        <v>72</v>
      </c>
      <c r="B73" s="1" t="s">
        <v>30</v>
      </c>
      <c r="C73" s="1" t="s">
        <v>53</v>
      </c>
      <c r="D73" s="1" t="s">
        <v>21</v>
      </c>
      <c r="E73" s="1" t="s">
        <v>22</v>
      </c>
      <c r="F73" s="1" t="s">
        <v>23</v>
      </c>
      <c r="G73" s="1" t="s">
        <v>17</v>
      </c>
      <c r="H73" s="1" t="s">
        <v>25</v>
      </c>
      <c r="I73" s="1">
        <v>536.20000000000005</v>
      </c>
      <c r="J73" s="1">
        <v>1.5</v>
      </c>
      <c r="K73" s="1">
        <v>3.4</v>
      </c>
      <c r="L73" s="1" t="s">
        <v>48</v>
      </c>
    </row>
    <row r="74" spans="1:12" x14ac:dyDescent="0.3">
      <c r="A74" s="1">
        <v>73</v>
      </c>
      <c r="B74" s="1" t="s">
        <v>58</v>
      </c>
      <c r="C74" s="1" t="s">
        <v>56</v>
      </c>
      <c r="D74" s="1" t="s">
        <v>46</v>
      </c>
      <c r="E74" s="1" t="s">
        <v>15</v>
      </c>
      <c r="F74" s="1" t="s">
        <v>23</v>
      </c>
      <c r="G74" s="1" t="s">
        <v>17</v>
      </c>
      <c r="H74" s="1" t="s">
        <v>18</v>
      </c>
      <c r="I74" s="1">
        <v>499.38</v>
      </c>
      <c r="J74" s="1">
        <v>3.4</v>
      </c>
      <c r="K74" s="1">
        <v>4.5999999999999996</v>
      </c>
      <c r="L74" s="1" t="s">
        <v>19</v>
      </c>
    </row>
    <row r="75" spans="1:12" x14ac:dyDescent="0.3">
      <c r="A75" s="1">
        <v>74</v>
      </c>
      <c r="B75" s="1" t="s">
        <v>12</v>
      </c>
      <c r="C75" s="1" t="s">
        <v>53</v>
      </c>
      <c r="D75" s="1" t="s">
        <v>50</v>
      </c>
      <c r="E75" s="1" t="s">
        <v>15</v>
      </c>
      <c r="F75" s="1" t="s">
        <v>16</v>
      </c>
      <c r="G75" s="1" t="s">
        <v>29</v>
      </c>
      <c r="H75" s="1" t="s">
        <v>18</v>
      </c>
      <c r="I75" s="1">
        <v>771.33</v>
      </c>
      <c r="J75" s="1">
        <v>5.4</v>
      </c>
      <c r="K75" s="1">
        <v>3.6</v>
      </c>
      <c r="L75" s="1" t="s">
        <v>51</v>
      </c>
    </row>
    <row r="76" spans="1:12" x14ac:dyDescent="0.3">
      <c r="A76" s="1">
        <v>75</v>
      </c>
      <c r="B76" s="1" t="s">
        <v>26</v>
      </c>
      <c r="C76" s="1" t="s">
        <v>49</v>
      </c>
      <c r="D76" s="1" t="s">
        <v>54</v>
      </c>
      <c r="E76" s="1" t="s">
        <v>44</v>
      </c>
      <c r="F76" s="1" t="s">
        <v>16</v>
      </c>
      <c r="G76" s="1" t="s">
        <v>17</v>
      </c>
      <c r="H76" s="1" t="s">
        <v>18</v>
      </c>
      <c r="I76" s="1">
        <v>575.38</v>
      </c>
      <c r="J76" s="1">
        <v>5</v>
      </c>
      <c r="K76" s="1">
        <v>4.4000000000000004</v>
      </c>
      <c r="L76" s="1" t="s">
        <v>19</v>
      </c>
    </row>
    <row r="77" spans="1:12" x14ac:dyDescent="0.3">
      <c r="A77" s="1">
        <v>76</v>
      </c>
      <c r="B77" s="1" t="s">
        <v>38</v>
      </c>
      <c r="C77" s="1" t="s">
        <v>49</v>
      </c>
      <c r="D77" s="1" t="s">
        <v>40</v>
      </c>
      <c r="E77" s="1" t="s">
        <v>32</v>
      </c>
      <c r="F77" s="1" t="s">
        <v>23</v>
      </c>
      <c r="G77" s="1" t="s">
        <v>17</v>
      </c>
      <c r="H77" s="1" t="s">
        <v>34</v>
      </c>
      <c r="I77" s="1">
        <v>629.22</v>
      </c>
      <c r="J77" s="1">
        <v>1.1000000000000001</v>
      </c>
      <c r="K77" s="1">
        <v>5</v>
      </c>
      <c r="L77" s="1" t="s">
        <v>35</v>
      </c>
    </row>
    <row r="78" spans="1:12" x14ac:dyDescent="0.3">
      <c r="A78" s="1">
        <v>77</v>
      </c>
      <c r="B78" s="1" t="s">
        <v>62</v>
      </c>
      <c r="C78" s="1" t="s">
        <v>63</v>
      </c>
      <c r="D78" s="1" t="s">
        <v>50</v>
      </c>
      <c r="E78" s="1" t="s">
        <v>32</v>
      </c>
      <c r="F78" s="1" t="s">
        <v>16</v>
      </c>
      <c r="G78" s="1" t="s">
        <v>24</v>
      </c>
      <c r="H78" s="1" t="s">
        <v>34</v>
      </c>
      <c r="I78" s="1">
        <v>81.77</v>
      </c>
      <c r="J78" s="1">
        <v>7.3</v>
      </c>
      <c r="K78" s="1">
        <v>3.7</v>
      </c>
      <c r="L78" s="1" t="s">
        <v>51</v>
      </c>
    </row>
    <row r="79" spans="1:12" x14ac:dyDescent="0.3">
      <c r="A79" s="1">
        <v>78</v>
      </c>
      <c r="B79" s="1" t="s">
        <v>30</v>
      </c>
      <c r="C79" s="1" t="s">
        <v>27</v>
      </c>
      <c r="D79" s="1" t="s">
        <v>40</v>
      </c>
      <c r="E79" s="1" t="s">
        <v>22</v>
      </c>
      <c r="F79" s="1" t="s">
        <v>16</v>
      </c>
      <c r="G79" s="1" t="s">
        <v>29</v>
      </c>
      <c r="H79" s="1" t="s">
        <v>34</v>
      </c>
      <c r="I79" s="1">
        <v>351.42</v>
      </c>
      <c r="J79" s="1">
        <v>9.9</v>
      </c>
      <c r="K79" s="1">
        <v>3.6</v>
      </c>
      <c r="L79" s="1" t="s">
        <v>35</v>
      </c>
    </row>
    <row r="80" spans="1:12" x14ac:dyDescent="0.3">
      <c r="A80" s="1">
        <v>79</v>
      </c>
      <c r="B80" s="1" t="s">
        <v>26</v>
      </c>
      <c r="C80" s="1" t="s">
        <v>13</v>
      </c>
      <c r="D80" s="1" t="s">
        <v>57</v>
      </c>
      <c r="E80" s="1" t="s">
        <v>44</v>
      </c>
      <c r="F80" s="1" t="s">
        <v>47</v>
      </c>
      <c r="G80" s="1" t="s">
        <v>29</v>
      </c>
      <c r="H80" s="1" t="s">
        <v>34</v>
      </c>
      <c r="I80" s="1">
        <v>331.34</v>
      </c>
      <c r="J80" s="1">
        <v>9.1</v>
      </c>
      <c r="K80" s="1">
        <v>4.0999999999999996</v>
      </c>
      <c r="L80" s="1" t="s">
        <v>19</v>
      </c>
    </row>
    <row r="81" spans="1:12" x14ac:dyDescent="0.3">
      <c r="A81" s="1">
        <v>80</v>
      </c>
      <c r="B81" s="1" t="s">
        <v>26</v>
      </c>
      <c r="C81" s="1" t="s">
        <v>13</v>
      </c>
      <c r="D81" s="1" t="s">
        <v>57</v>
      </c>
      <c r="E81" s="1" t="s">
        <v>44</v>
      </c>
      <c r="F81" s="1" t="s">
        <v>47</v>
      </c>
      <c r="G81" s="1" t="s">
        <v>17</v>
      </c>
      <c r="H81" s="1" t="s">
        <v>25</v>
      </c>
      <c r="I81" s="1">
        <v>407.91</v>
      </c>
      <c r="J81" s="1">
        <v>1.3</v>
      </c>
      <c r="K81" s="1">
        <v>3.3</v>
      </c>
      <c r="L81" s="1" t="s">
        <v>19</v>
      </c>
    </row>
    <row r="82" spans="1:12" x14ac:dyDescent="0.3">
      <c r="A82" s="1">
        <v>81</v>
      </c>
      <c r="B82" s="1" t="s">
        <v>36</v>
      </c>
      <c r="C82" s="1" t="s">
        <v>13</v>
      </c>
      <c r="D82" s="1" t="s">
        <v>54</v>
      </c>
      <c r="E82" s="1" t="s">
        <v>15</v>
      </c>
      <c r="F82" s="1" t="s">
        <v>23</v>
      </c>
      <c r="G82" s="1" t="s">
        <v>24</v>
      </c>
      <c r="H82" s="1" t="s">
        <v>34</v>
      </c>
      <c r="I82" s="1">
        <v>30.07</v>
      </c>
      <c r="J82" s="1">
        <v>4.9000000000000004</v>
      </c>
      <c r="K82" s="1">
        <v>2.7</v>
      </c>
      <c r="L82" s="1" t="s">
        <v>35</v>
      </c>
    </row>
    <row r="83" spans="1:12" x14ac:dyDescent="0.3">
      <c r="A83" s="1">
        <v>82</v>
      </c>
      <c r="B83" s="1" t="s">
        <v>60</v>
      </c>
      <c r="C83" s="1" t="s">
        <v>53</v>
      </c>
      <c r="D83" s="1" t="s">
        <v>21</v>
      </c>
      <c r="E83" s="1" t="s">
        <v>32</v>
      </c>
      <c r="F83" s="1" t="s">
        <v>16</v>
      </c>
      <c r="G83" s="1" t="s">
        <v>29</v>
      </c>
      <c r="H83" s="1" t="s">
        <v>25</v>
      </c>
      <c r="I83" s="1">
        <v>210.74</v>
      </c>
      <c r="J83" s="1">
        <v>9.6</v>
      </c>
      <c r="K83" s="1">
        <v>3.8</v>
      </c>
      <c r="L83" s="1" t="s">
        <v>48</v>
      </c>
    </row>
    <row r="84" spans="1:12" x14ac:dyDescent="0.3">
      <c r="A84" s="1">
        <v>83</v>
      </c>
      <c r="B84" s="1" t="s">
        <v>38</v>
      </c>
      <c r="C84" s="1" t="s">
        <v>45</v>
      </c>
      <c r="D84" s="1" t="s">
        <v>50</v>
      </c>
      <c r="E84" s="1" t="s">
        <v>61</v>
      </c>
      <c r="F84" s="1" t="s">
        <v>16</v>
      </c>
      <c r="G84" s="1" t="s">
        <v>17</v>
      </c>
      <c r="H84" s="1" t="s">
        <v>18</v>
      </c>
      <c r="I84" s="1">
        <v>198.07</v>
      </c>
      <c r="J84" s="1">
        <v>4.3</v>
      </c>
      <c r="K84" s="1">
        <v>4.0999999999999996</v>
      </c>
      <c r="L84" s="1" t="s">
        <v>19</v>
      </c>
    </row>
    <row r="85" spans="1:12" x14ac:dyDescent="0.3">
      <c r="A85" s="1">
        <v>84</v>
      </c>
      <c r="B85" s="1" t="s">
        <v>62</v>
      </c>
      <c r="C85" s="1" t="s">
        <v>53</v>
      </c>
      <c r="D85" s="1" t="s">
        <v>21</v>
      </c>
      <c r="E85" s="1" t="s">
        <v>44</v>
      </c>
      <c r="F85" s="1" t="s">
        <v>16</v>
      </c>
      <c r="G85" s="1" t="s">
        <v>29</v>
      </c>
      <c r="H85" s="1" t="s">
        <v>34</v>
      </c>
      <c r="I85" s="1">
        <v>435.24</v>
      </c>
      <c r="J85" s="1">
        <v>7.7</v>
      </c>
      <c r="K85" s="1">
        <v>3.5</v>
      </c>
      <c r="L85" s="1" t="s">
        <v>35</v>
      </c>
    </row>
    <row r="86" spans="1:12" x14ac:dyDescent="0.3">
      <c r="A86" s="1">
        <v>85</v>
      </c>
      <c r="B86" s="1" t="s">
        <v>58</v>
      </c>
      <c r="C86" s="1" t="s">
        <v>45</v>
      </c>
      <c r="D86" s="1" t="s">
        <v>50</v>
      </c>
      <c r="E86" s="1" t="s">
        <v>28</v>
      </c>
      <c r="F86" s="1" t="s">
        <v>23</v>
      </c>
      <c r="G86" s="1" t="s">
        <v>29</v>
      </c>
      <c r="H86" s="1" t="s">
        <v>25</v>
      </c>
      <c r="I86" s="1">
        <v>752</v>
      </c>
      <c r="J86" s="1">
        <v>3.8</v>
      </c>
      <c r="K86" s="1">
        <v>5</v>
      </c>
      <c r="L86" s="1" t="s">
        <v>19</v>
      </c>
    </row>
    <row r="87" spans="1:12" x14ac:dyDescent="0.3">
      <c r="A87" s="1">
        <v>86</v>
      </c>
      <c r="B87" s="1" t="s">
        <v>36</v>
      </c>
      <c r="C87" s="1" t="s">
        <v>42</v>
      </c>
      <c r="D87" s="1" t="s">
        <v>57</v>
      </c>
      <c r="E87" s="1" t="s">
        <v>61</v>
      </c>
      <c r="F87" s="1" t="s">
        <v>33</v>
      </c>
      <c r="G87" s="1" t="s">
        <v>29</v>
      </c>
      <c r="H87" s="1" t="s">
        <v>34</v>
      </c>
      <c r="I87" s="1">
        <v>559.9</v>
      </c>
      <c r="J87" s="1">
        <v>9.5</v>
      </c>
      <c r="K87" s="1">
        <v>4.9000000000000004</v>
      </c>
      <c r="L87" s="1" t="s">
        <v>19</v>
      </c>
    </row>
    <row r="88" spans="1:12" x14ac:dyDescent="0.3">
      <c r="A88" s="1">
        <v>87</v>
      </c>
      <c r="B88" s="1" t="s">
        <v>26</v>
      </c>
      <c r="C88" s="1" t="s">
        <v>42</v>
      </c>
      <c r="D88" s="1" t="s">
        <v>39</v>
      </c>
      <c r="E88" s="1" t="s">
        <v>28</v>
      </c>
      <c r="F88" s="1" t="s">
        <v>41</v>
      </c>
      <c r="G88" s="1" t="s">
        <v>17</v>
      </c>
      <c r="H88" s="1" t="s">
        <v>34</v>
      </c>
      <c r="I88" s="1">
        <v>65.260000000000005</v>
      </c>
      <c r="J88" s="1">
        <v>6.7</v>
      </c>
      <c r="K88" s="1">
        <v>3.3</v>
      </c>
      <c r="L88" s="1" t="s">
        <v>35</v>
      </c>
    </row>
    <row r="89" spans="1:12" x14ac:dyDescent="0.3">
      <c r="A89" s="1">
        <v>88</v>
      </c>
      <c r="B89" s="1" t="s">
        <v>30</v>
      </c>
      <c r="C89" s="1" t="s">
        <v>37</v>
      </c>
      <c r="D89" s="1" t="s">
        <v>57</v>
      </c>
      <c r="E89" s="1" t="s">
        <v>44</v>
      </c>
      <c r="F89" s="1" t="s">
        <v>41</v>
      </c>
      <c r="G89" s="1" t="s">
        <v>29</v>
      </c>
      <c r="H89" s="1" t="s">
        <v>25</v>
      </c>
      <c r="I89" s="1">
        <v>125.25</v>
      </c>
      <c r="J89" s="1">
        <v>4</v>
      </c>
      <c r="K89" s="1">
        <v>4.4000000000000004</v>
      </c>
      <c r="L89" s="1" t="s">
        <v>51</v>
      </c>
    </row>
    <row r="90" spans="1:12" x14ac:dyDescent="0.3">
      <c r="A90" s="1">
        <v>89</v>
      </c>
      <c r="B90" s="1" t="s">
        <v>52</v>
      </c>
      <c r="C90" s="1" t="s">
        <v>49</v>
      </c>
      <c r="D90" s="1" t="s">
        <v>14</v>
      </c>
      <c r="E90" s="1" t="s">
        <v>15</v>
      </c>
      <c r="F90" s="1" t="s">
        <v>47</v>
      </c>
      <c r="G90" s="1" t="s">
        <v>17</v>
      </c>
      <c r="H90" s="1" t="s">
        <v>34</v>
      </c>
      <c r="I90" s="1">
        <v>72.010000000000005</v>
      </c>
      <c r="J90" s="1">
        <v>6.8</v>
      </c>
      <c r="K90" s="1">
        <v>3.7</v>
      </c>
      <c r="L90" s="1" t="s">
        <v>19</v>
      </c>
    </row>
    <row r="91" spans="1:12" x14ac:dyDescent="0.3">
      <c r="A91" s="1">
        <v>90</v>
      </c>
      <c r="B91" s="1" t="s">
        <v>20</v>
      </c>
      <c r="C91" s="1" t="s">
        <v>42</v>
      </c>
      <c r="D91" s="1" t="s">
        <v>39</v>
      </c>
      <c r="E91" s="1" t="s">
        <v>15</v>
      </c>
      <c r="F91" s="1" t="s">
        <v>23</v>
      </c>
      <c r="G91" s="1" t="s">
        <v>17</v>
      </c>
      <c r="H91" s="1" t="s">
        <v>18</v>
      </c>
      <c r="I91" s="1">
        <v>632.52</v>
      </c>
      <c r="J91" s="1">
        <v>9</v>
      </c>
      <c r="K91" s="1">
        <v>4.8</v>
      </c>
      <c r="L91" s="1" t="s">
        <v>51</v>
      </c>
    </row>
    <row r="92" spans="1:12" x14ac:dyDescent="0.3">
      <c r="A92" s="1">
        <v>91</v>
      </c>
      <c r="B92" s="1" t="s">
        <v>36</v>
      </c>
      <c r="C92" s="1" t="s">
        <v>27</v>
      </c>
      <c r="D92" s="1" t="s">
        <v>54</v>
      </c>
      <c r="E92" s="1" t="s">
        <v>55</v>
      </c>
      <c r="F92" s="1" t="s">
        <v>33</v>
      </c>
      <c r="G92" s="1" t="s">
        <v>29</v>
      </c>
      <c r="H92" s="1" t="s">
        <v>25</v>
      </c>
      <c r="I92" s="1">
        <v>532.99</v>
      </c>
      <c r="J92" s="1">
        <v>9.4</v>
      </c>
      <c r="K92" s="1">
        <v>3.1</v>
      </c>
      <c r="L92" s="1" t="s">
        <v>51</v>
      </c>
    </row>
    <row r="93" spans="1:12" x14ac:dyDescent="0.3">
      <c r="A93" s="1">
        <v>92</v>
      </c>
      <c r="B93" s="1" t="s">
        <v>62</v>
      </c>
      <c r="C93" s="1" t="s">
        <v>59</v>
      </c>
      <c r="D93" s="1" t="s">
        <v>39</v>
      </c>
      <c r="E93" s="1" t="s">
        <v>28</v>
      </c>
      <c r="F93" s="1" t="s">
        <v>47</v>
      </c>
      <c r="G93" s="1" t="s">
        <v>17</v>
      </c>
      <c r="H93" s="1" t="s">
        <v>34</v>
      </c>
      <c r="I93" s="1">
        <v>705.85</v>
      </c>
      <c r="J93" s="1">
        <v>1.8</v>
      </c>
      <c r="K93" s="1">
        <v>3.7</v>
      </c>
      <c r="L93" s="1" t="s">
        <v>19</v>
      </c>
    </row>
    <row r="94" spans="1:12" x14ac:dyDescent="0.3">
      <c r="A94" s="1">
        <v>93</v>
      </c>
      <c r="B94" s="1" t="s">
        <v>38</v>
      </c>
      <c r="C94" s="1" t="s">
        <v>13</v>
      </c>
      <c r="D94" s="1" t="s">
        <v>14</v>
      </c>
      <c r="E94" s="1" t="s">
        <v>32</v>
      </c>
      <c r="F94" s="1" t="s">
        <v>47</v>
      </c>
      <c r="G94" s="1" t="s">
        <v>17</v>
      </c>
      <c r="H94" s="1" t="s">
        <v>25</v>
      </c>
      <c r="I94" s="1">
        <v>677.98</v>
      </c>
      <c r="J94" s="1">
        <v>1.4</v>
      </c>
      <c r="K94" s="1">
        <v>4.8</v>
      </c>
      <c r="L94" s="1" t="s">
        <v>48</v>
      </c>
    </row>
    <row r="95" spans="1:12" x14ac:dyDescent="0.3">
      <c r="A95" s="1">
        <v>94</v>
      </c>
      <c r="B95" s="1" t="s">
        <v>36</v>
      </c>
      <c r="C95" s="1" t="s">
        <v>45</v>
      </c>
      <c r="D95" s="1" t="s">
        <v>43</v>
      </c>
      <c r="E95" s="1" t="s">
        <v>28</v>
      </c>
      <c r="F95" s="1" t="s">
        <v>33</v>
      </c>
      <c r="G95" s="1" t="s">
        <v>24</v>
      </c>
      <c r="H95" s="1" t="s">
        <v>34</v>
      </c>
      <c r="I95" s="1">
        <v>321.89999999999998</v>
      </c>
      <c r="J95" s="1">
        <v>6.5</v>
      </c>
      <c r="K95" s="1">
        <v>4</v>
      </c>
      <c r="L95" s="1" t="s">
        <v>35</v>
      </c>
    </row>
    <row r="96" spans="1:12" x14ac:dyDescent="0.3">
      <c r="A96" s="1">
        <v>95</v>
      </c>
      <c r="B96" s="1" t="s">
        <v>20</v>
      </c>
      <c r="C96" s="1" t="s">
        <v>59</v>
      </c>
      <c r="D96" s="1" t="s">
        <v>43</v>
      </c>
      <c r="E96" s="1" t="s">
        <v>32</v>
      </c>
      <c r="F96" s="1" t="s">
        <v>33</v>
      </c>
      <c r="G96" s="1" t="s">
        <v>24</v>
      </c>
      <c r="H96" s="1" t="s">
        <v>18</v>
      </c>
      <c r="I96" s="1">
        <v>513.28</v>
      </c>
      <c r="J96" s="1">
        <v>2.7</v>
      </c>
      <c r="K96" s="1">
        <v>3.1</v>
      </c>
      <c r="L96" s="1" t="s">
        <v>51</v>
      </c>
    </row>
    <row r="97" spans="1:12" x14ac:dyDescent="0.3">
      <c r="A97" s="1">
        <v>96</v>
      </c>
      <c r="B97" s="1" t="s">
        <v>38</v>
      </c>
      <c r="C97" s="1" t="s">
        <v>45</v>
      </c>
      <c r="D97" s="1" t="s">
        <v>43</v>
      </c>
      <c r="E97" s="1" t="s">
        <v>44</v>
      </c>
      <c r="F97" s="1" t="s">
        <v>47</v>
      </c>
      <c r="G97" s="1" t="s">
        <v>17</v>
      </c>
      <c r="H97" s="1" t="s">
        <v>18</v>
      </c>
      <c r="I97" s="1">
        <v>738.25</v>
      </c>
      <c r="J97" s="1">
        <v>3.3</v>
      </c>
      <c r="K97" s="1">
        <v>3.5</v>
      </c>
      <c r="L97" s="1" t="s">
        <v>19</v>
      </c>
    </row>
    <row r="98" spans="1:12" x14ac:dyDescent="0.3">
      <c r="A98" s="1">
        <v>97</v>
      </c>
      <c r="B98" s="1" t="s">
        <v>60</v>
      </c>
      <c r="C98" s="1" t="s">
        <v>42</v>
      </c>
      <c r="D98" s="1" t="s">
        <v>14</v>
      </c>
      <c r="E98" s="1" t="s">
        <v>61</v>
      </c>
      <c r="F98" s="1" t="s">
        <v>16</v>
      </c>
      <c r="G98" s="1" t="s">
        <v>17</v>
      </c>
      <c r="H98" s="1" t="s">
        <v>25</v>
      </c>
      <c r="I98" s="1">
        <v>241.85</v>
      </c>
      <c r="J98" s="1">
        <v>6.1</v>
      </c>
      <c r="K98" s="1">
        <v>3</v>
      </c>
      <c r="L98" s="1" t="s">
        <v>48</v>
      </c>
    </row>
    <row r="99" spans="1:12" x14ac:dyDescent="0.3">
      <c r="A99" s="1">
        <v>98</v>
      </c>
      <c r="B99" s="1" t="s">
        <v>62</v>
      </c>
      <c r="C99" s="1" t="s">
        <v>45</v>
      </c>
      <c r="D99" s="1" t="s">
        <v>14</v>
      </c>
      <c r="E99" s="1" t="s">
        <v>22</v>
      </c>
      <c r="F99" s="1" t="s">
        <v>16</v>
      </c>
      <c r="G99" s="1" t="s">
        <v>17</v>
      </c>
      <c r="H99" s="1" t="s">
        <v>34</v>
      </c>
      <c r="I99" s="1">
        <v>782.43</v>
      </c>
      <c r="J99" s="1">
        <v>8.3000000000000007</v>
      </c>
      <c r="K99" s="1">
        <v>2.8</v>
      </c>
      <c r="L99" s="1" t="s">
        <v>35</v>
      </c>
    </row>
    <row r="100" spans="1:12" x14ac:dyDescent="0.3">
      <c r="A100" s="1">
        <v>99</v>
      </c>
      <c r="B100" s="1" t="s">
        <v>52</v>
      </c>
      <c r="C100" s="1" t="s">
        <v>37</v>
      </c>
      <c r="D100" s="1" t="s">
        <v>54</v>
      </c>
      <c r="E100" s="1" t="s">
        <v>55</v>
      </c>
      <c r="F100" s="1" t="s">
        <v>33</v>
      </c>
      <c r="G100" s="1" t="s">
        <v>29</v>
      </c>
      <c r="H100" s="1" t="s">
        <v>34</v>
      </c>
      <c r="I100" s="1">
        <v>444.81</v>
      </c>
      <c r="J100" s="1">
        <v>7.7</v>
      </c>
      <c r="K100" s="1">
        <v>3.2</v>
      </c>
      <c r="L100" s="1" t="s">
        <v>51</v>
      </c>
    </row>
    <row r="101" spans="1:12" x14ac:dyDescent="0.3">
      <c r="A101" s="1">
        <v>100</v>
      </c>
      <c r="B101" s="1" t="s">
        <v>30</v>
      </c>
      <c r="C101" s="1" t="s">
        <v>37</v>
      </c>
      <c r="D101" s="1" t="s">
        <v>46</v>
      </c>
      <c r="E101" s="1" t="s">
        <v>61</v>
      </c>
      <c r="F101" s="1" t="s">
        <v>41</v>
      </c>
      <c r="G101" s="1" t="s">
        <v>17</v>
      </c>
      <c r="H101" s="1" t="s">
        <v>25</v>
      </c>
      <c r="I101" s="1">
        <v>69.14</v>
      </c>
      <c r="J101" s="1">
        <v>4.0999999999999996</v>
      </c>
      <c r="K101" s="1">
        <v>4.9000000000000004</v>
      </c>
      <c r="L101" s="1" t="s">
        <v>51</v>
      </c>
    </row>
    <row r="102" spans="1:12" x14ac:dyDescent="0.3">
      <c r="A102" s="1">
        <v>101</v>
      </c>
      <c r="B102" s="1" t="s">
        <v>36</v>
      </c>
      <c r="C102" s="1" t="s">
        <v>13</v>
      </c>
      <c r="D102" s="1" t="s">
        <v>14</v>
      </c>
      <c r="E102" s="1" t="s">
        <v>28</v>
      </c>
      <c r="F102" s="1" t="s">
        <v>16</v>
      </c>
      <c r="G102" s="1" t="s">
        <v>29</v>
      </c>
      <c r="H102" s="1" t="s">
        <v>25</v>
      </c>
      <c r="I102" s="1">
        <v>488.02</v>
      </c>
      <c r="J102" s="1">
        <v>9.8000000000000007</v>
      </c>
      <c r="K102" s="1">
        <v>2.6</v>
      </c>
      <c r="L102" s="1" t="s">
        <v>48</v>
      </c>
    </row>
    <row r="103" spans="1:12" x14ac:dyDescent="0.3">
      <c r="A103" s="1">
        <v>102</v>
      </c>
      <c r="B103" s="1" t="s">
        <v>52</v>
      </c>
      <c r="C103" s="1" t="s">
        <v>13</v>
      </c>
      <c r="D103" s="1" t="s">
        <v>57</v>
      </c>
      <c r="E103" s="1" t="s">
        <v>44</v>
      </c>
      <c r="F103" s="1" t="s">
        <v>47</v>
      </c>
      <c r="G103" s="1" t="s">
        <v>17</v>
      </c>
      <c r="H103" s="1" t="s">
        <v>34</v>
      </c>
      <c r="I103" s="1">
        <v>559.21</v>
      </c>
      <c r="J103" s="1">
        <v>6.2</v>
      </c>
      <c r="K103" s="1">
        <v>4.8</v>
      </c>
      <c r="L103" s="1" t="s">
        <v>19</v>
      </c>
    </row>
    <row r="104" spans="1:12" x14ac:dyDescent="0.3">
      <c r="A104" s="1">
        <v>103</v>
      </c>
      <c r="B104" s="1" t="s">
        <v>36</v>
      </c>
      <c r="C104" s="1" t="s">
        <v>53</v>
      </c>
      <c r="D104" s="1" t="s">
        <v>21</v>
      </c>
      <c r="E104" s="1" t="s">
        <v>44</v>
      </c>
      <c r="F104" s="1" t="s">
        <v>33</v>
      </c>
      <c r="G104" s="1" t="s">
        <v>17</v>
      </c>
      <c r="H104" s="1" t="s">
        <v>34</v>
      </c>
      <c r="I104" s="1">
        <v>554.73</v>
      </c>
      <c r="J104" s="1">
        <v>5.7</v>
      </c>
      <c r="K104" s="1">
        <v>4.7</v>
      </c>
      <c r="L104" s="1" t="s">
        <v>35</v>
      </c>
    </row>
    <row r="105" spans="1:12" x14ac:dyDescent="0.3">
      <c r="A105" s="1">
        <v>104</v>
      </c>
      <c r="B105" s="1" t="s">
        <v>36</v>
      </c>
      <c r="C105" s="1" t="s">
        <v>59</v>
      </c>
      <c r="D105" s="1" t="s">
        <v>31</v>
      </c>
      <c r="E105" s="1" t="s">
        <v>28</v>
      </c>
      <c r="F105" s="1" t="s">
        <v>47</v>
      </c>
      <c r="G105" s="1" t="s">
        <v>17</v>
      </c>
      <c r="H105" s="1" t="s">
        <v>34</v>
      </c>
      <c r="I105" s="1">
        <v>225.28</v>
      </c>
      <c r="J105" s="1">
        <v>2.2000000000000002</v>
      </c>
      <c r="K105" s="1">
        <v>3.7</v>
      </c>
      <c r="L105" s="1" t="s">
        <v>48</v>
      </c>
    </row>
    <row r="106" spans="1:12" x14ac:dyDescent="0.3">
      <c r="A106" s="1">
        <v>105</v>
      </c>
      <c r="B106" s="1" t="s">
        <v>12</v>
      </c>
      <c r="C106" s="1" t="s">
        <v>56</v>
      </c>
      <c r="D106" s="1" t="s">
        <v>54</v>
      </c>
      <c r="E106" s="1" t="s">
        <v>28</v>
      </c>
      <c r="F106" s="1" t="s">
        <v>47</v>
      </c>
      <c r="G106" s="1" t="s">
        <v>17</v>
      </c>
      <c r="H106" s="1" t="s">
        <v>34</v>
      </c>
      <c r="I106" s="1">
        <v>771.22</v>
      </c>
      <c r="J106" s="1">
        <v>9.1999999999999993</v>
      </c>
      <c r="K106" s="1">
        <v>4.3</v>
      </c>
      <c r="L106" s="1" t="s">
        <v>35</v>
      </c>
    </row>
    <row r="107" spans="1:12" x14ac:dyDescent="0.3">
      <c r="A107" s="1">
        <v>106</v>
      </c>
      <c r="B107" s="1" t="s">
        <v>52</v>
      </c>
      <c r="C107" s="1" t="s">
        <v>45</v>
      </c>
      <c r="D107" s="1" t="s">
        <v>57</v>
      </c>
      <c r="E107" s="1" t="s">
        <v>15</v>
      </c>
      <c r="F107" s="1" t="s">
        <v>16</v>
      </c>
      <c r="G107" s="1" t="s">
        <v>29</v>
      </c>
      <c r="H107" s="1" t="s">
        <v>25</v>
      </c>
      <c r="I107" s="1">
        <v>446.46</v>
      </c>
      <c r="J107" s="1">
        <v>10</v>
      </c>
      <c r="K107" s="1">
        <v>2.7</v>
      </c>
      <c r="L107" s="1" t="s">
        <v>35</v>
      </c>
    </row>
    <row r="108" spans="1:12" x14ac:dyDescent="0.3">
      <c r="A108" s="1">
        <v>107</v>
      </c>
      <c r="B108" s="1" t="s">
        <v>60</v>
      </c>
      <c r="C108" s="1" t="s">
        <v>37</v>
      </c>
      <c r="D108" s="1" t="s">
        <v>46</v>
      </c>
      <c r="E108" s="1" t="s">
        <v>22</v>
      </c>
      <c r="F108" s="1" t="s">
        <v>47</v>
      </c>
      <c r="G108" s="1" t="s">
        <v>24</v>
      </c>
      <c r="H108" s="1" t="s">
        <v>18</v>
      </c>
      <c r="I108" s="1">
        <v>542.66999999999996</v>
      </c>
      <c r="J108" s="1">
        <v>5.9</v>
      </c>
      <c r="K108" s="1">
        <v>2.6</v>
      </c>
      <c r="L108" s="1" t="s">
        <v>48</v>
      </c>
    </row>
    <row r="109" spans="1:12" x14ac:dyDescent="0.3">
      <c r="A109" s="1">
        <v>108</v>
      </c>
      <c r="B109" s="1" t="s">
        <v>62</v>
      </c>
      <c r="C109" s="1" t="s">
        <v>49</v>
      </c>
      <c r="D109" s="1" t="s">
        <v>43</v>
      </c>
      <c r="E109" s="1" t="s">
        <v>61</v>
      </c>
      <c r="F109" s="1" t="s">
        <v>23</v>
      </c>
      <c r="G109" s="1" t="s">
        <v>17</v>
      </c>
      <c r="H109" s="1" t="s">
        <v>18</v>
      </c>
      <c r="I109" s="1">
        <v>155.85</v>
      </c>
      <c r="J109" s="1">
        <v>9.4</v>
      </c>
      <c r="K109" s="1">
        <v>3</v>
      </c>
      <c r="L109" s="1" t="s">
        <v>35</v>
      </c>
    </row>
    <row r="110" spans="1:12" x14ac:dyDescent="0.3">
      <c r="A110" s="1">
        <v>109</v>
      </c>
      <c r="B110" s="1" t="s">
        <v>52</v>
      </c>
      <c r="C110" s="1" t="s">
        <v>56</v>
      </c>
      <c r="D110" s="1" t="s">
        <v>46</v>
      </c>
      <c r="E110" s="1" t="s">
        <v>22</v>
      </c>
      <c r="F110" s="1" t="s">
        <v>47</v>
      </c>
      <c r="G110" s="1" t="s">
        <v>24</v>
      </c>
      <c r="H110" s="1" t="s">
        <v>18</v>
      </c>
      <c r="I110" s="1">
        <v>779.42</v>
      </c>
      <c r="J110" s="1">
        <v>4.5</v>
      </c>
      <c r="K110" s="1">
        <v>4.8</v>
      </c>
      <c r="L110" s="1" t="s">
        <v>19</v>
      </c>
    </row>
    <row r="111" spans="1:12" x14ac:dyDescent="0.3">
      <c r="A111" s="1">
        <v>110</v>
      </c>
      <c r="B111" s="1" t="s">
        <v>38</v>
      </c>
      <c r="C111" s="1" t="s">
        <v>56</v>
      </c>
      <c r="D111" s="1" t="s">
        <v>40</v>
      </c>
      <c r="E111" s="1" t="s">
        <v>28</v>
      </c>
      <c r="F111" s="1" t="s">
        <v>33</v>
      </c>
      <c r="G111" s="1" t="s">
        <v>17</v>
      </c>
      <c r="H111" s="1" t="s">
        <v>34</v>
      </c>
      <c r="I111" s="1">
        <v>196.88</v>
      </c>
      <c r="J111" s="1">
        <v>3.1</v>
      </c>
      <c r="K111" s="1">
        <v>3.6</v>
      </c>
      <c r="L111" s="1" t="s">
        <v>48</v>
      </c>
    </row>
    <row r="112" spans="1:12" x14ac:dyDescent="0.3">
      <c r="A112" s="1">
        <v>111</v>
      </c>
      <c r="B112" s="1" t="s">
        <v>30</v>
      </c>
      <c r="C112" s="1" t="s">
        <v>63</v>
      </c>
      <c r="D112" s="1" t="s">
        <v>14</v>
      </c>
      <c r="E112" s="1" t="s">
        <v>44</v>
      </c>
      <c r="F112" s="1" t="s">
        <v>23</v>
      </c>
      <c r="G112" s="1" t="s">
        <v>29</v>
      </c>
      <c r="H112" s="1" t="s">
        <v>18</v>
      </c>
      <c r="I112" s="1">
        <v>574.38</v>
      </c>
      <c r="J112" s="1">
        <v>5.4</v>
      </c>
      <c r="K112" s="1">
        <v>2.7</v>
      </c>
      <c r="L112" s="1" t="s">
        <v>51</v>
      </c>
    </row>
    <row r="113" spans="1:12" x14ac:dyDescent="0.3">
      <c r="A113" s="1">
        <v>112</v>
      </c>
      <c r="B113" s="1" t="s">
        <v>58</v>
      </c>
      <c r="C113" s="1" t="s">
        <v>45</v>
      </c>
      <c r="D113" s="1" t="s">
        <v>46</v>
      </c>
      <c r="E113" s="1" t="s">
        <v>28</v>
      </c>
      <c r="F113" s="1" t="s">
        <v>16</v>
      </c>
      <c r="G113" s="1" t="s">
        <v>17</v>
      </c>
      <c r="H113" s="1" t="s">
        <v>18</v>
      </c>
      <c r="I113" s="1">
        <v>127.55</v>
      </c>
      <c r="J113" s="1">
        <v>4.5</v>
      </c>
      <c r="K113" s="1">
        <v>4.4000000000000004</v>
      </c>
      <c r="L113" s="1" t="s">
        <v>35</v>
      </c>
    </row>
    <row r="114" spans="1:12" x14ac:dyDescent="0.3">
      <c r="A114" s="1">
        <v>113</v>
      </c>
      <c r="B114" s="1" t="s">
        <v>20</v>
      </c>
      <c r="C114" s="1" t="s">
        <v>45</v>
      </c>
      <c r="D114" s="1" t="s">
        <v>54</v>
      </c>
      <c r="E114" s="1" t="s">
        <v>44</v>
      </c>
      <c r="F114" s="1" t="s">
        <v>47</v>
      </c>
      <c r="G114" s="1" t="s">
        <v>24</v>
      </c>
      <c r="H114" s="1" t="s">
        <v>18</v>
      </c>
      <c r="I114" s="1">
        <v>440.14</v>
      </c>
      <c r="J114" s="1">
        <v>7.4</v>
      </c>
      <c r="K114" s="1">
        <v>4.5999999999999996</v>
      </c>
      <c r="L114" s="1" t="s">
        <v>35</v>
      </c>
    </row>
    <row r="115" spans="1:12" x14ac:dyDescent="0.3">
      <c r="A115" s="1">
        <v>114</v>
      </c>
      <c r="B115" s="1" t="s">
        <v>30</v>
      </c>
      <c r="C115" s="1" t="s">
        <v>27</v>
      </c>
      <c r="D115" s="1" t="s">
        <v>40</v>
      </c>
      <c r="E115" s="1" t="s">
        <v>28</v>
      </c>
      <c r="F115" s="1" t="s">
        <v>33</v>
      </c>
      <c r="G115" s="1" t="s">
        <v>24</v>
      </c>
      <c r="H115" s="1" t="s">
        <v>34</v>
      </c>
      <c r="I115" s="1">
        <v>445.18</v>
      </c>
      <c r="J115" s="1">
        <v>7.8</v>
      </c>
      <c r="K115" s="1">
        <v>4</v>
      </c>
      <c r="L115" s="1" t="s">
        <v>35</v>
      </c>
    </row>
    <row r="116" spans="1:12" x14ac:dyDescent="0.3">
      <c r="A116" s="1">
        <v>115</v>
      </c>
      <c r="B116" s="1" t="s">
        <v>58</v>
      </c>
      <c r="C116" s="1" t="s">
        <v>13</v>
      </c>
      <c r="D116" s="1" t="s">
        <v>54</v>
      </c>
      <c r="E116" s="1" t="s">
        <v>15</v>
      </c>
      <c r="F116" s="1" t="s">
        <v>47</v>
      </c>
      <c r="G116" s="1" t="s">
        <v>17</v>
      </c>
      <c r="H116" s="1" t="s">
        <v>18</v>
      </c>
      <c r="I116" s="1">
        <v>398.21</v>
      </c>
      <c r="J116" s="1">
        <v>3.3</v>
      </c>
      <c r="K116" s="1">
        <v>4.9000000000000004</v>
      </c>
      <c r="L116" s="1" t="s">
        <v>19</v>
      </c>
    </row>
    <row r="117" spans="1:12" x14ac:dyDescent="0.3">
      <c r="A117" s="1">
        <v>116</v>
      </c>
      <c r="B117" s="1" t="s">
        <v>26</v>
      </c>
      <c r="C117" s="1" t="s">
        <v>49</v>
      </c>
      <c r="D117" s="1" t="s">
        <v>14</v>
      </c>
      <c r="E117" s="1" t="s">
        <v>28</v>
      </c>
      <c r="F117" s="1" t="s">
        <v>33</v>
      </c>
      <c r="G117" s="1" t="s">
        <v>24</v>
      </c>
      <c r="H117" s="1" t="s">
        <v>25</v>
      </c>
      <c r="I117" s="1">
        <v>379.09</v>
      </c>
      <c r="J117" s="1">
        <v>3.4</v>
      </c>
      <c r="K117" s="1">
        <v>4.4000000000000004</v>
      </c>
      <c r="L117" s="1" t="s">
        <v>19</v>
      </c>
    </row>
    <row r="118" spans="1:12" x14ac:dyDescent="0.3">
      <c r="A118" s="1">
        <v>117</v>
      </c>
      <c r="B118" s="1" t="s">
        <v>12</v>
      </c>
      <c r="C118" s="1" t="s">
        <v>37</v>
      </c>
      <c r="D118" s="1" t="s">
        <v>54</v>
      </c>
      <c r="E118" s="1" t="s">
        <v>28</v>
      </c>
      <c r="F118" s="1" t="s">
        <v>33</v>
      </c>
      <c r="G118" s="1" t="s">
        <v>24</v>
      </c>
      <c r="H118" s="1" t="s">
        <v>18</v>
      </c>
      <c r="I118" s="1">
        <v>511</v>
      </c>
      <c r="J118" s="1">
        <v>5.5</v>
      </c>
      <c r="K118" s="1">
        <v>3.7</v>
      </c>
      <c r="L118" s="1" t="s">
        <v>35</v>
      </c>
    </row>
    <row r="119" spans="1:12" x14ac:dyDescent="0.3">
      <c r="A119" s="1">
        <v>118</v>
      </c>
      <c r="B119" s="1" t="s">
        <v>38</v>
      </c>
      <c r="C119" s="1" t="s">
        <v>56</v>
      </c>
      <c r="D119" s="1" t="s">
        <v>21</v>
      </c>
      <c r="E119" s="1" t="s">
        <v>61</v>
      </c>
      <c r="F119" s="1" t="s">
        <v>33</v>
      </c>
      <c r="G119" s="1" t="s">
        <v>17</v>
      </c>
      <c r="H119" s="1" t="s">
        <v>18</v>
      </c>
      <c r="I119" s="1">
        <v>604.55999999999995</v>
      </c>
      <c r="J119" s="1">
        <v>4.5999999999999996</v>
      </c>
      <c r="K119" s="1">
        <v>3.9</v>
      </c>
      <c r="L119" s="1" t="s">
        <v>19</v>
      </c>
    </row>
    <row r="120" spans="1:12" x14ac:dyDescent="0.3">
      <c r="A120" s="1">
        <v>119</v>
      </c>
      <c r="B120" s="1" t="s">
        <v>12</v>
      </c>
      <c r="C120" s="1" t="s">
        <v>45</v>
      </c>
      <c r="D120" s="1" t="s">
        <v>50</v>
      </c>
      <c r="E120" s="1" t="s">
        <v>44</v>
      </c>
      <c r="F120" s="1" t="s">
        <v>41</v>
      </c>
      <c r="G120" s="1" t="s">
        <v>24</v>
      </c>
      <c r="H120" s="1" t="s">
        <v>34</v>
      </c>
      <c r="I120" s="1">
        <v>508.61</v>
      </c>
      <c r="J120" s="1">
        <v>9</v>
      </c>
      <c r="K120" s="1">
        <v>4.3</v>
      </c>
      <c r="L120" s="1" t="s">
        <v>51</v>
      </c>
    </row>
    <row r="121" spans="1:12" x14ac:dyDescent="0.3">
      <c r="A121" s="1">
        <v>120</v>
      </c>
      <c r="B121" s="1" t="s">
        <v>62</v>
      </c>
      <c r="C121" s="1" t="s">
        <v>42</v>
      </c>
      <c r="D121" s="1" t="s">
        <v>57</v>
      </c>
      <c r="E121" s="1" t="s">
        <v>28</v>
      </c>
      <c r="F121" s="1" t="s">
        <v>47</v>
      </c>
      <c r="G121" s="1" t="s">
        <v>24</v>
      </c>
      <c r="H121" s="1" t="s">
        <v>25</v>
      </c>
      <c r="I121" s="1">
        <v>367.56</v>
      </c>
      <c r="J121" s="1">
        <v>8.9</v>
      </c>
      <c r="K121" s="1">
        <v>4.9000000000000004</v>
      </c>
      <c r="L121" s="1" t="s">
        <v>48</v>
      </c>
    </row>
    <row r="122" spans="1:12" x14ac:dyDescent="0.3">
      <c r="A122" s="1">
        <v>121</v>
      </c>
      <c r="B122" s="1" t="s">
        <v>30</v>
      </c>
      <c r="C122" s="1" t="s">
        <v>27</v>
      </c>
      <c r="D122" s="1" t="s">
        <v>46</v>
      </c>
      <c r="E122" s="1" t="s">
        <v>44</v>
      </c>
      <c r="F122" s="1" t="s">
        <v>16</v>
      </c>
      <c r="G122" s="1" t="s">
        <v>24</v>
      </c>
      <c r="H122" s="1" t="s">
        <v>18</v>
      </c>
      <c r="I122" s="1">
        <v>512.29</v>
      </c>
      <c r="J122" s="1">
        <v>6.3</v>
      </c>
      <c r="K122" s="1">
        <v>2.8</v>
      </c>
      <c r="L122" s="1" t="s">
        <v>48</v>
      </c>
    </row>
    <row r="123" spans="1:12" x14ac:dyDescent="0.3">
      <c r="A123" s="1">
        <v>122</v>
      </c>
      <c r="B123" s="1" t="s">
        <v>36</v>
      </c>
      <c r="C123" s="1" t="s">
        <v>63</v>
      </c>
      <c r="D123" s="1" t="s">
        <v>39</v>
      </c>
      <c r="E123" s="1" t="s">
        <v>22</v>
      </c>
      <c r="F123" s="1" t="s">
        <v>33</v>
      </c>
      <c r="G123" s="1" t="s">
        <v>29</v>
      </c>
      <c r="H123" s="1" t="s">
        <v>18</v>
      </c>
      <c r="I123" s="1">
        <v>522.28</v>
      </c>
      <c r="J123" s="1">
        <v>8.5</v>
      </c>
      <c r="K123" s="1">
        <v>4.2</v>
      </c>
      <c r="L123" s="1" t="s">
        <v>35</v>
      </c>
    </row>
    <row r="124" spans="1:12" x14ac:dyDescent="0.3">
      <c r="A124" s="1">
        <v>123</v>
      </c>
      <c r="B124" s="1" t="s">
        <v>36</v>
      </c>
      <c r="C124" s="1" t="s">
        <v>45</v>
      </c>
      <c r="D124" s="1" t="s">
        <v>50</v>
      </c>
      <c r="E124" s="1" t="s">
        <v>28</v>
      </c>
      <c r="F124" s="1" t="s">
        <v>47</v>
      </c>
      <c r="G124" s="1" t="s">
        <v>29</v>
      </c>
      <c r="H124" s="1" t="s">
        <v>18</v>
      </c>
      <c r="I124" s="1">
        <v>400.19</v>
      </c>
      <c r="J124" s="1">
        <v>6.6</v>
      </c>
      <c r="K124" s="1">
        <v>2.7</v>
      </c>
      <c r="L124" s="1" t="s">
        <v>51</v>
      </c>
    </row>
    <row r="125" spans="1:12" x14ac:dyDescent="0.3">
      <c r="A125" s="1">
        <v>124</v>
      </c>
      <c r="B125" s="1" t="s">
        <v>58</v>
      </c>
      <c r="C125" s="1" t="s">
        <v>37</v>
      </c>
      <c r="D125" s="1" t="s">
        <v>39</v>
      </c>
      <c r="E125" s="1" t="s">
        <v>44</v>
      </c>
      <c r="F125" s="1" t="s">
        <v>33</v>
      </c>
      <c r="G125" s="1" t="s">
        <v>29</v>
      </c>
      <c r="H125" s="1" t="s">
        <v>34</v>
      </c>
      <c r="I125" s="1">
        <v>223.88</v>
      </c>
      <c r="J125" s="1">
        <v>4.5999999999999996</v>
      </c>
      <c r="K125" s="1">
        <v>3</v>
      </c>
      <c r="L125" s="1" t="s">
        <v>51</v>
      </c>
    </row>
    <row r="126" spans="1:12" x14ac:dyDescent="0.3">
      <c r="A126" s="1">
        <v>125</v>
      </c>
      <c r="B126" s="1" t="s">
        <v>30</v>
      </c>
      <c r="C126" s="1" t="s">
        <v>13</v>
      </c>
      <c r="D126" s="1" t="s">
        <v>14</v>
      </c>
      <c r="E126" s="1" t="s">
        <v>22</v>
      </c>
      <c r="F126" s="1" t="s">
        <v>16</v>
      </c>
      <c r="G126" s="1" t="s">
        <v>17</v>
      </c>
      <c r="H126" s="1" t="s">
        <v>34</v>
      </c>
      <c r="I126" s="1">
        <v>281.5</v>
      </c>
      <c r="J126" s="1">
        <v>6</v>
      </c>
      <c r="K126" s="1">
        <v>4.2</v>
      </c>
      <c r="L126" s="1" t="s">
        <v>48</v>
      </c>
    </row>
    <row r="127" spans="1:12" x14ac:dyDescent="0.3">
      <c r="A127" s="1">
        <v>126</v>
      </c>
      <c r="B127" s="1" t="s">
        <v>62</v>
      </c>
      <c r="C127" s="1" t="s">
        <v>42</v>
      </c>
      <c r="D127" s="1" t="s">
        <v>39</v>
      </c>
      <c r="E127" s="1" t="s">
        <v>15</v>
      </c>
      <c r="F127" s="1" t="s">
        <v>47</v>
      </c>
      <c r="G127" s="1" t="s">
        <v>24</v>
      </c>
      <c r="H127" s="1" t="s">
        <v>34</v>
      </c>
      <c r="I127" s="1">
        <v>188.42</v>
      </c>
      <c r="J127" s="1">
        <v>5.4</v>
      </c>
      <c r="K127" s="1">
        <v>4.4000000000000004</v>
      </c>
      <c r="L127" s="1" t="s">
        <v>48</v>
      </c>
    </row>
    <row r="128" spans="1:12" x14ac:dyDescent="0.3">
      <c r="A128" s="1">
        <v>127</v>
      </c>
      <c r="B128" s="1" t="s">
        <v>12</v>
      </c>
      <c r="C128" s="1" t="s">
        <v>13</v>
      </c>
      <c r="D128" s="1" t="s">
        <v>54</v>
      </c>
      <c r="E128" s="1" t="s">
        <v>22</v>
      </c>
      <c r="F128" s="1" t="s">
        <v>23</v>
      </c>
      <c r="G128" s="1" t="s">
        <v>29</v>
      </c>
      <c r="H128" s="1" t="s">
        <v>34</v>
      </c>
      <c r="I128" s="1">
        <v>542.58000000000004</v>
      </c>
      <c r="J128" s="1">
        <v>9.4</v>
      </c>
      <c r="K128" s="1">
        <v>3.7</v>
      </c>
      <c r="L128" s="1" t="s">
        <v>19</v>
      </c>
    </row>
    <row r="129" spans="1:12" x14ac:dyDescent="0.3">
      <c r="A129" s="1">
        <v>128</v>
      </c>
      <c r="B129" s="1" t="s">
        <v>30</v>
      </c>
      <c r="C129" s="1" t="s">
        <v>37</v>
      </c>
      <c r="D129" s="1" t="s">
        <v>39</v>
      </c>
      <c r="E129" s="1" t="s">
        <v>22</v>
      </c>
      <c r="F129" s="1" t="s">
        <v>47</v>
      </c>
      <c r="G129" s="1" t="s">
        <v>17</v>
      </c>
      <c r="H129" s="1" t="s">
        <v>25</v>
      </c>
      <c r="I129" s="1">
        <v>458.83</v>
      </c>
      <c r="J129" s="1">
        <v>1.4</v>
      </c>
      <c r="K129" s="1">
        <v>4.2</v>
      </c>
      <c r="L129" s="1" t="s">
        <v>35</v>
      </c>
    </row>
    <row r="130" spans="1:12" x14ac:dyDescent="0.3">
      <c r="A130" s="1">
        <v>129</v>
      </c>
      <c r="B130" s="1" t="s">
        <v>26</v>
      </c>
      <c r="C130" s="1" t="s">
        <v>59</v>
      </c>
      <c r="D130" s="1" t="s">
        <v>54</v>
      </c>
      <c r="E130" s="1" t="s">
        <v>32</v>
      </c>
      <c r="F130" s="1" t="s">
        <v>41</v>
      </c>
      <c r="G130" s="1" t="s">
        <v>17</v>
      </c>
      <c r="H130" s="1" t="s">
        <v>18</v>
      </c>
      <c r="I130" s="1">
        <v>463.22</v>
      </c>
      <c r="J130" s="1">
        <v>1.9</v>
      </c>
      <c r="K130" s="1">
        <v>3.9</v>
      </c>
      <c r="L130" s="1" t="s">
        <v>51</v>
      </c>
    </row>
    <row r="131" spans="1:12" x14ac:dyDescent="0.3">
      <c r="A131" s="1">
        <v>130</v>
      </c>
      <c r="B131" s="1" t="s">
        <v>36</v>
      </c>
      <c r="C131" s="1" t="s">
        <v>63</v>
      </c>
      <c r="D131" s="1" t="s">
        <v>46</v>
      </c>
      <c r="E131" s="1" t="s">
        <v>15</v>
      </c>
      <c r="F131" s="1" t="s">
        <v>47</v>
      </c>
      <c r="G131" s="1" t="s">
        <v>24</v>
      </c>
      <c r="H131" s="1" t="s">
        <v>18</v>
      </c>
      <c r="I131" s="1">
        <v>295.41000000000003</v>
      </c>
      <c r="J131" s="1">
        <v>7.6</v>
      </c>
      <c r="K131" s="1">
        <v>3.8</v>
      </c>
      <c r="L131" s="1" t="s">
        <v>48</v>
      </c>
    </row>
    <row r="132" spans="1:12" x14ac:dyDescent="0.3">
      <c r="A132" s="1">
        <v>131</v>
      </c>
      <c r="B132" s="1" t="s">
        <v>52</v>
      </c>
      <c r="C132" s="1" t="s">
        <v>27</v>
      </c>
      <c r="D132" s="1" t="s">
        <v>21</v>
      </c>
      <c r="E132" s="1" t="s">
        <v>44</v>
      </c>
      <c r="F132" s="1" t="s">
        <v>41</v>
      </c>
      <c r="G132" s="1" t="s">
        <v>29</v>
      </c>
      <c r="H132" s="1" t="s">
        <v>34</v>
      </c>
      <c r="I132" s="1">
        <v>377.9</v>
      </c>
      <c r="J132" s="1">
        <v>4.0999999999999996</v>
      </c>
      <c r="K132" s="1">
        <v>4.5999999999999996</v>
      </c>
      <c r="L132" s="1" t="s">
        <v>35</v>
      </c>
    </row>
    <row r="133" spans="1:12" x14ac:dyDescent="0.3">
      <c r="A133" s="1">
        <v>132</v>
      </c>
      <c r="B133" s="1" t="s">
        <v>38</v>
      </c>
      <c r="C133" s="1" t="s">
        <v>37</v>
      </c>
      <c r="D133" s="1" t="s">
        <v>31</v>
      </c>
      <c r="E133" s="1" t="s">
        <v>28</v>
      </c>
      <c r="F133" s="1" t="s">
        <v>23</v>
      </c>
      <c r="G133" s="1" t="s">
        <v>29</v>
      </c>
      <c r="H133" s="1" t="s">
        <v>25</v>
      </c>
      <c r="I133" s="1">
        <v>381.1</v>
      </c>
      <c r="J133" s="1">
        <v>6.6</v>
      </c>
      <c r="K133" s="1">
        <v>4.9000000000000004</v>
      </c>
      <c r="L133" s="1" t="s">
        <v>35</v>
      </c>
    </row>
    <row r="134" spans="1:12" x14ac:dyDescent="0.3">
      <c r="A134" s="1">
        <v>133</v>
      </c>
      <c r="B134" s="1" t="s">
        <v>60</v>
      </c>
      <c r="C134" s="1" t="s">
        <v>42</v>
      </c>
      <c r="D134" s="1" t="s">
        <v>54</v>
      </c>
      <c r="E134" s="1" t="s">
        <v>61</v>
      </c>
      <c r="F134" s="1" t="s">
        <v>33</v>
      </c>
      <c r="G134" s="1" t="s">
        <v>24</v>
      </c>
      <c r="H134" s="1" t="s">
        <v>18</v>
      </c>
      <c r="I134" s="1">
        <v>585.44000000000005</v>
      </c>
      <c r="J134" s="1">
        <v>2</v>
      </c>
      <c r="K134" s="1">
        <v>3.1</v>
      </c>
      <c r="L134" s="1" t="s">
        <v>19</v>
      </c>
    </row>
    <row r="135" spans="1:12" x14ac:dyDescent="0.3">
      <c r="A135" s="1">
        <v>134</v>
      </c>
      <c r="B135" s="1" t="s">
        <v>30</v>
      </c>
      <c r="C135" s="1" t="s">
        <v>63</v>
      </c>
      <c r="D135" s="1" t="s">
        <v>39</v>
      </c>
      <c r="E135" s="1" t="s">
        <v>44</v>
      </c>
      <c r="F135" s="1" t="s">
        <v>33</v>
      </c>
      <c r="G135" s="1" t="s">
        <v>29</v>
      </c>
      <c r="H135" s="1" t="s">
        <v>18</v>
      </c>
      <c r="I135" s="1">
        <v>291.94</v>
      </c>
      <c r="J135" s="1">
        <v>10</v>
      </c>
      <c r="K135" s="1">
        <v>2.7</v>
      </c>
      <c r="L135" s="1" t="s">
        <v>35</v>
      </c>
    </row>
    <row r="136" spans="1:12" x14ac:dyDescent="0.3">
      <c r="A136" s="1">
        <v>135</v>
      </c>
      <c r="B136" s="1" t="s">
        <v>20</v>
      </c>
      <c r="C136" s="1" t="s">
        <v>45</v>
      </c>
      <c r="D136" s="1" t="s">
        <v>54</v>
      </c>
      <c r="E136" s="1" t="s">
        <v>22</v>
      </c>
      <c r="F136" s="1" t="s">
        <v>23</v>
      </c>
      <c r="G136" s="1" t="s">
        <v>29</v>
      </c>
      <c r="H136" s="1" t="s">
        <v>25</v>
      </c>
      <c r="I136" s="1">
        <v>765.47</v>
      </c>
      <c r="J136" s="1">
        <v>5.3</v>
      </c>
      <c r="K136" s="1">
        <v>3.6</v>
      </c>
      <c r="L136" s="1" t="s">
        <v>19</v>
      </c>
    </row>
    <row r="137" spans="1:12" x14ac:dyDescent="0.3">
      <c r="A137" s="1">
        <v>136</v>
      </c>
      <c r="B137" s="1" t="s">
        <v>38</v>
      </c>
      <c r="C137" s="1" t="s">
        <v>37</v>
      </c>
      <c r="D137" s="1" t="s">
        <v>14</v>
      </c>
      <c r="E137" s="1" t="s">
        <v>61</v>
      </c>
      <c r="F137" s="1" t="s">
        <v>23</v>
      </c>
      <c r="G137" s="1" t="s">
        <v>17</v>
      </c>
      <c r="H137" s="1" t="s">
        <v>34</v>
      </c>
      <c r="I137" s="1">
        <v>730.82</v>
      </c>
      <c r="J137" s="1">
        <v>2.7</v>
      </c>
      <c r="K137" s="1">
        <v>4.0999999999999996</v>
      </c>
      <c r="L137" s="1" t="s">
        <v>35</v>
      </c>
    </row>
    <row r="138" spans="1:12" x14ac:dyDescent="0.3">
      <c r="A138" s="1">
        <v>137</v>
      </c>
      <c r="B138" s="1" t="s">
        <v>60</v>
      </c>
      <c r="C138" s="1" t="s">
        <v>63</v>
      </c>
      <c r="D138" s="1" t="s">
        <v>39</v>
      </c>
      <c r="E138" s="1" t="s">
        <v>28</v>
      </c>
      <c r="F138" s="1" t="s">
        <v>23</v>
      </c>
      <c r="G138" s="1" t="s">
        <v>17</v>
      </c>
      <c r="H138" s="1" t="s">
        <v>18</v>
      </c>
      <c r="I138" s="1">
        <v>690.75</v>
      </c>
      <c r="J138" s="1">
        <v>9.5</v>
      </c>
      <c r="K138" s="1">
        <v>4.0999999999999996</v>
      </c>
      <c r="L138" s="1" t="s">
        <v>35</v>
      </c>
    </row>
    <row r="139" spans="1:12" x14ac:dyDescent="0.3">
      <c r="A139" s="1">
        <v>138</v>
      </c>
      <c r="B139" s="1" t="s">
        <v>62</v>
      </c>
      <c r="C139" s="1" t="s">
        <v>45</v>
      </c>
      <c r="D139" s="1" t="s">
        <v>54</v>
      </c>
      <c r="E139" s="1" t="s">
        <v>15</v>
      </c>
      <c r="F139" s="1" t="s">
        <v>23</v>
      </c>
      <c r="G139" s="1" t="s">
        <v>29</v>
      </c>
      <c r="H139" s="1" t="s">
        <v>34</v>
      </c>
      <c r="I139" s="1">
        <v>313.17</v>
      </c>
      <c r="J139" s="1">
        <v>9.3000000000000007</v>
      </c>
      <c r="K139" s="1">
        <v>3.5</v>
      </c>
      <c r="L139" s="1" t="s">
        <v>51</v>
      </c>
    </row>
    <row r="140" spans="1:12" x14ac:dyDescent="0.3">
      <c r="A140" s="1">
        <v>139</v>
      </c>
      <c r="B140" s="1" t="s">
        <v>60</v>
      </c>
      <c r="C140" s="1" t="s">
        <v>59</v>
      </c>
      <c r="D140" s="1" t="s">
        <v>14</v>
      </c>
      <c r="E140" s="1" t="s">
        <v>61</v>
      </c>
      <c r="F140" s="1" t="s">
        <v>23</v>
      </c>
      <c r="G140" s="1" t="s">
        <v>17</v>
      </c>
      <c r="H140" s="1" t="s">
        <v>18</v>
      </c>
      <c r="I140" s="1">
        <v>624.26</v>
      </c>
      <c r="J140" s="1">
        <v>5.5</v>
      </c>
      <c r="K140" s="1">
        <v>2.9</v>
      </c>
      <c r="L140" s="1" t="s">
        <v>19</v>
      </c>
    </row>
    <row r="141" spans="1:12" x14ac:dyDescent="0.3">
      <c r="A141" s="1">
        <v>140</v>
      </c>
      <c r="B141" s="1" t="s">
        <v>58</v>
      </c>
      <c r="C141" s="1" t="s">
        <v>42</v>
      </c>
      <c r="D141" s="1" t="s">
        <v>46</v>
      </c>
      <c r="E141" s="1" t="s">
        <v>61</v>
      </c>
      <c r="F141" s="1" t="s">
        <v>23</v>
      </c>
      <c r="G141" s="1" t="s">
        <v>29</v>
      </c>
      <c r="H141" s="1" t="s">
        <v>18</v>
      </c>
      <c r="I141" s="1">
        <v>646.41</v>
      </c>
      <c r="J141" s="1">
        <v>9.1999999999999993</v>
      </c>
      <c r="K141" s="1">
        <v>4.5999999999999996</v>
      </c>
      <c r="L141" s="1" t="s">
        <v>35</v>
      </c>
    </row>
    <row r="142" spans="1:12" x14ac:dyDescent="0.3">
      <c r="A142" s="1">
        <v>141</v>
      </c>
      <c r="B142" s="1" t="s">
        <v>26</v>
      </c>
      <c r="C142" s="1" t="s">
        <v>13</v>
      </c>
      <c r="D142" s="1" t="s">
        <v>57</v>
      </c>
      <c r="E142" s="1" t="s">
        <v>55</v>
      </c>
      <c r="F142" s="1" t="s">
        <v>33</v>
      </c>
      <c r="G142" s="1" t="s">
        <v>24</v>
      </c>
      <c r="H142" s="1" t="s">
        <v>18</v>
      </c>
      <c r="I142" s="1">
        <v>91.32</v>
      </c>
      <c r="J142" s="1">
        <v>5.2</v>
      </c>
      <c r="K142" s="1">
        <v>4.8</v>
      </c>
      <c r="L142" s="1" t="s">
        <v>19</v>
      </c>
    </row>
    <row r="143" spans="1:12" x14ac:dyDescent="0.3">
      <c r="A143" s="1">
        <v>142</v>
      </c>
      <c r="B143" s="1" t="s">
        <v>12</v>
      </c>
      <c r="C143" s="1" t="s">
        <v>45</v>
      </c>
      <c r="D143" s="1" t="s">
        <v>14</v>
      </c>
      <c r="E143" s="1" t="s">
        <v>28</v>
      </c>
      <c r="F143" s="1" t="s">
        <v>41</v>
      </c>
      <c r="G143" s="1" t="s">
        <v>29</v>
      </c>
      <c r="H143" s="1" t="s">
        <v>25</v>
      </c>
      <c r="I143" s="1">
        <v>214.48</v>
      </c>
      <c r="J143" s="1">
        <v>3.6</v>
      </c>
      <c r="K143" s="1">
        <v>3.9</v>
      </c>
      <c r="L143" s="1" t="s">
        <v>48</v>
      </c>
    </row>
    <row r="144" spans="1:12" x14ac:dyDescent="0.3">
      <c r="A144" s="1">
        <v>143</v>
      </c>
      <c r="B144" s="1" t="s">
        <v>38</v>
      </c>
      <c r="C144" s="1" t="s">
        <v>42</v>
      </c>
      <c r="D144" s="1" t="s">
        <v>57</v>
      </c>
      <c r="E144" s="1" t="s">
        <v>22</v>
      </c>
      <c r="F144" s="1" t="s">
        <v>16</v>
      </c>
      <c r="G144" s="1" t="s">
        <v>29</v>
      </c>
      <c r="H144" s="1" t="s">
        <v>18</v>
      </c>
      <c r="I144" s="1">
        <v>644.97</v>
      </c>
      <c r="J144" s="1">
        <v>5.7</v>
      </c>
      <c r="K144" s="1">
        <v>2.7</v>
      </c>
      <c r="L144" s="1" t="s">
        <v>19</v>
      </c>
    </row>
    <row r="145" spans="1:12" x14ac:dyDescent="0.3">
      <c r="A145" s="1">
        <v>144</v>
      </c>
      <c r="B145" s="1" t="s">
        <v>60</v>
      </c>
      <c r="C145" s="1" t="s">
        <v>27</v>
      </c>
      <c r="D145" s="1" t="s">
        <v>54</v>
      </c>
      <c r="E145" s="1" t="s">
        <v>44</v>
      </c>
      <c r="F145" s="1" t="s">
        <v>23</v>
      </c>
      <c r="G145" s="1" t="s">
        <v>24</v>
      </c>
      <c r="H145" s="1" t="s">
        <v>25</v>
      </c>
      <c r="I145" s="1">
        <v>637.55999999999995</v>
      </c>
      <c r="J145" s="1">
        <v>5.4</v>
      </c>
      <c r="K145" s="1">
        <v>4.5</v>
      </c>
      <c r="L145" s="1" t="s">
        <v>35</v>
      </c>
    </row>
    <row r="146" spans="1:12" x14ac:dyDescent="0.3">
      <c r="A146" s="1">
        <v>145</v>
      </c>
      <c r="B146" s="1" t="s">
        <v>26</v>
      </c>
      <c r="C146" s="1" t="s">
        <v>45</v>
      </c>
      <c r="D146" s="1" t="s">
        <v>21</v>
      </c>
      <c r="E146" s="1" t="s">
        <v>44</v>
      </c>
      <c r="F146" s="1" t="s">
        <v>41</v>
      </c>
      <c r="G146" s="1" t="s">
        <v>29</v>
      </c>
      <c r="H146" s="1" t="s">
        <v>34</v>
      </c>
      <c r="I146" s="1">
        <v>512.48</v>
      </c>
      <c r="J146" s="1">
        <v>1.8</v>
      </c>
      <c r="K146" s="1">
        <v>3.7</v>
      </c>
      <c r="L146" s="1" t="s">
        <v>35</v>
      </c>
    </row>
    <row r="147" spans="1:12" x14ac:dyDescent="0.3">
      <c r="A147" s="1">
        <v>146</v>
      </c>
      <c r="B147" s="1" t="s">
        <v>36</v>
      </c>
      <c r="C147" s="1" t="s">
        <v>27</v>
      </c>
      <c r="D147" s="1" t="s">
        <v>50</v>
      </c>
      <c r="E147" s="1" t="s">
        <v>61</v>
      </c>
      <c r="F147" s="1" t="s">
        <v>41</v>
      </c>
      <c r="G147" s="1" t="s">
        <v>17</v>
      </c>
      <c r="H147" s="1" t="s">
        <v>34</v>
      </c>
      <c r="I147" s="1">
        <v>614.05999999999995</v>
      </c>
      <c r="J147" s="1">
        <v>2.9</v>
      </c>
      <c r="K147" s="1">
        <v>4.5</v>
      </c>
      <c r="L147" s="1" t="s">
        <v>51</v>
      </c>
    </row>
    <row r="148" spans="1:12" x14ac:dyDescent="0.3">
      <c r="A148" s="1">
        <v>147</v>
      </c>
      <c r="B148" s="1" t="s">
        <v>26</v>
      </c>
      <c r="C148" s="1" t="s">
        <v>56</v>
      </c>
      <c r="D148" s="1" t="s">
        <v>40</v>
      </c>
      <c r="E148" s="1" t="s">
        <v>15</v>
      </c>
      <c r="F148" s="1" t="s">
        <v>33</v>
      </c>
      <c r="G148" s="1" t="s">
        <v>29</v>
      </c>
      <c r="H148" s="1" t="s">
        <v>25</v>
      </c>
      <c r="I148" s="1">
        <v>329.7</v>
      </c>
      <c r="J148" s="1">
        <v>3</v>
      </c>
      <c r="K148" s="1">
        <v>4.4000000000000004</v>
      </c>
      <c r="L148" s="1" t="s">
        <v>35</v>
      </c>
    </row>
    <row r="149" spans="1:12" x14ac:dyDescent="0.3">
      <c r="A149" s="1">
        <v>148</v>
      </c>
      <c r="B149" s="1" t="s">
        <v>38</v>
      </c>
      <c r="C149" s="1" t="s">
        <v>56</v>
      </c>
      <c r="D149" s="1" t="s">
        <v>40</v>
      </c>
      <c r="E149" s="1" t="s">
        <v>22</v>
      </c>
      <c r="F149" s="1" t="s">
        <v>41</v>
      </c>
      <c r="G149" s="1" t="s">
        <v>29</v>
      </c>
      <c r="H149" s="1" t="s">
        <v>34</v>
      </c>
      <c r="I149" s="1">
        <v>411.84</v>
      </c>
      <c r="J149" s="1">
        <v>9.6999999999999993</v>
      </c>
      <c r="K149" s="1">
        <v>4.7</v>
      </c>
      <c r="L149" s="1" t="s">
        <v>35</v>
      </c>
    </row>
    <row r="150" spans="1:12" x14ac:dyDescent="0.3">
      <c r="A150" s="1">
        <v>149</v>
      </c>
      <c r="B150" s="1" t="s">
        <v>58</v>
      </c>
      <c r="C150" s="1" t="s">
        <v>49</v>
      </c>
      <c r="D150" s="1" t="s">
        <v>39</v>
      </c>
      <c r="E150" s="1" t="s">
        <v>55</v>
      </c>
      <c r="F150" s="1" t="s">
        <v>33</v>
      </c>
      <c r="G150" s="1" t="s">
        <v>29</v>
      </c>
      <c r="H150" s="1" t="s">
        <v>18</v>
      </c>
      <c r="I150" s="1">
        <v>407.11</v>
      </c>
      <c r="J150" s="1">
        <v>3.5</v>
      </c>
      <c r="K150" s="1">
        <v>3</v>
      </c>
      <c r="L150" s="1" t="s">
        <v>48</v>
      </c>
    </row>
    <row r="151" spans="1:12" x14ac:dyDescent="0.3">
      <c r="A151" s="1">
        <v>150</v>
      </c>
      <c r="B151" s="1" t="s">
        <v>20</v>
      </c>
      <c r="C151" s="1" t="s">
        <v>13</v>
      </c>
      <c r="D151" s="1" t="s">
        <v>21</v>
      </c>
      <c r="E151" s="1" t="s">
        <v>61</v>
      </c>
      <c r="F151" s="1" t="s">
        <v>47</v>
      </c>
      <c r="G151" s="1" t="s">
        <v>24</v>
      </c>
      <c r="H151" s="1" t="s">
        <v>34</v>
      </c>
      <c r="I151" s="1">
        <v>256.39</v>
      </c>
      <c r="J151" s="1">
        <v>7.3</v>
      </c>
      <c r="K151" s="1">
        <v>3.6</v>
      </c>
      <c r="L151" s="1" t="s">
        <v>35</v>
      </c>
    </row>
  </sheetData>
  <sortState xmlns:xlrd2="http://schemas.microsoft.com/office/spreadsheetml/2017/richdata2" ref="P15:P24">
    <sortCondition ref="P15:P24"/>
  </sortState>
  <conditionalFormatting sqref="P2:S11 P14">
    <cfRule type="expression" dxfId="1" priority="1">
      <formula>$S2&gt;AVERAGE($S$2:$S$12)</formula>
    </cfRule>
  </conditionalFormatting>
  <conditionalFormatting sqref="V1">
    <cfRule type="expression" dxfId="0" priority="2">
      <formula>$S14&gt;AVERAGE($S$2:$S$12)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Winter_Fashion_Trends_DS(OG)</vt:lpstr>
      <vt:lpstr>Analyzing_DS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Utekar</dc:creator>
  <cp:lastModifiedBy>Sahil Utekar</cp:lastModifiedBy>
  <dcterms:created xsi:type="dcterms:W3CDTF">2025-12-03T17:11:17Z</dcterms:created>
  <dcterms:modified xsi:type="dcterms:W3CDTF">2025-12-04T18:29:23Z</dcterms:modified>
</cp:coreProperties>
</file>